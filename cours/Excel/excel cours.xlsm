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htc-fbi\cours\Excel\"/>
    </mc:Choice>
  </mc:AlternateContent>
  <xr:revisionPtr revIDLastSave="0" documentId="13_ncr:1_{A1FC9561-6604-40B8-9016-039A4D3CDA5D}" xr6:coauthVersionLast="47" xr6:coauthVersionMax="47" xr10:uidLastSave="{00000000-0000-0000-0000-000000000000}"/>
  <bookViews>
    <workbookView xWindow="-120" yWindow="-120" windowWidth="20730" windowHeight="11160" activeTab="5" xr2:uid="{4AC8C237-50F5-402E-8C2C-1A88D3BA1483}"/>
  </bookViews>
  <sheets>
    <sheet name="Feuil1" sheetId="1" r:id="rId1"/>
    <sheet name="Feuil2" sheetId="2" r:id="rId2"/>
    <sheet name="Feuil3" sheetId="3" r:id="rId3"/>
    <sheet name="Feuil4" sheetId="4" r:id="rId4"/>
    <sheet name="Feuil5" sheetId="5" r:id="rId5"/>
    <sheet name="Feuil6" sheetId="6" r:id="rId6"/>
  </sheets>
  <definedNames>
    <definedName name="_xlnm._FilterDatabase" localSheetId="0" hidden="1">Feuil1!$F$16:$N$16</definedName>
    <definedName name="age">Feuil1!$A$22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8" i="4" l="1"/>
  <c r="L4" i="4"/>
  <c r="N4" i="4"/>
  <c r="M5" i="4"/>
  <c r="M6" i="4"/>
  <c r="M7" i="4"/>
  <c r="M8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K21" i="4"/>
  <c r="M9" i="4" s="1"/>
  <c r="K16" i="4"/>
  <c r="G3" i="4" s="1"/>
  <c r="C110" i="3"/>
  <c r="H3" i="3"/>
  <c r="B24" i="1"/>
  <c r="A18" i="1"/>
  <c r="A19" i="1" s="1"/>
  <c r="G26" i="1"/>
  <c r="H26" i="1"/>
  <c r="I26" i="1"/>
  <c r="J26" i="1"/>
  <c r="K26" i="1"/>
  <c r="L26" i="1"/>
  <c r="M26" i="1"/>
  <c r="N26" i="1"/>
  <c r="G25" i="1"/>
  <c r="H25" i="1"/>
  <c r="I25" i="1"/>
  <c r="J25" i="1"/>
  <c r="K25" i="1"/>
  <c r="L25" i="1"/>
  <c r="M25" i="1"/>
  <c r="N25" i="1"/>
  <c r="G24" i="1"/>
  <c r="H24" i="1"/>
  <c r="I24" i="1"/>
  <c r="J24" i="1"/>
  <c r="K24" i="1"/>
  <c r="L24" i="1"/>
  <c r="M24" i="1"/>
  <c r="N24" i="1"/>
  <c r="G23" i="1"/>
  <c r="H23" i="1"/>
  <c r="I23" i="1"/>
  <c r="J23" i="1"/>
  <c r="K23" i="1"/>
  <c r="L23" i="1"/>
  <c r="M23" i="1"/>
  <c r="N23" i="1"/>
  <c r="G22" i="1"/>
  <c r="H22" i="1"/>
  <c r="I22" i="1"/>
  <c r="J22" i="1"/>
  <c r="K22" i="1"/>
  <c r="L22" i="1"/>
  <c r="M22" i="1"/>
  <c r="N22" i="1"/>
  <c r="G21" i="1"/>
  <c r="H21" i="1"/>
  <c r="I21" i="1"/>
  <c r="J21" i="1"/>
  <c r="K21" i="1"/>
  <c r="L21" i="1"/>
  <c r="M21" i="1"/>
  <c r="N21" i="1"/>
  <c r="G20" i="1"/>
  <c r="H20" i="1"/>
  <c r="I20" i="1"/>
  <c r="J20" i="1"/>
  <c r="K20" i="1"/>
  <c r="L20" i="1"/>
  <c r="M20" i="1"/>
  <c r="N20" i="1"/>
  <c r="G19" i="1"/>
  <c r="H19" i="1"/>
  <c r="I19" i="1"/>
  <c r="J19" i="1"/>
  <c r="K19" i="1"/>
  <c r="L19" i="1"/>
  <c r="M19" i="1"/>
  <c r="N19" i="1"/>
  <c r="G18" i="1"/>
  <c r="H18" i="1"/>
  <c r="I18" i="1"/>
  <c r="J18" i="1"/>
  <c r="K18" i="1"/>
  <c r="L18" i="1"/>
  <c r="M18" i="1"/>
  <c r="N18" i="1"/>
  <c r="G17" i="1"/>
  <c r="H17" i="1"/>
  <c r="I17" i="1"/>
  <c r="J17" i="1"/>
  <c r="K17" i="1"/>
  <c r="L17" i="1"/>
  <c r="M17" i="1"/>
  <c r="N17" i="1"/>
  <c r="F25" i="1"/>
  <c r="F24" i="1"/>
  <c r="F23" i="1"/>
  <c r="F22" i="1"/>
  <c r="F21" i="1"/>
  <c r="F20" i="1"/>
  <c r="F19" i="1"/>
  <c r="F18" i="1"/>
  <c r="F17" i="1"/>
  <c r="F26" i="1"/>
  <c r="M4" i="4" l="1"/>
</calcChain>
</file>

<file path=xl/sharedStrings.xml><?xml version="1.0" encoding="utf-8"?>
<sst xmlns="http://schemas.openxmlformats.org/spreadsheetml/2006/main" count="976" uniqueCount="355">
  <si>
    <t>lundi</t>
  </si>
  <si>
    <t>mardi</t>
  </si>
  <si>
    <t>mercredi</t>
  </si>
  <si>
    <t>jeudi</t>
  </si>
  <si>
    <t>vendredi</t>
  </si>
  <si>
    <t>samedi</t>
  </si>
  <si>
    <t>dimanche</t>
  </si>
  <si>
    <t>BI</t>
  </si>
  <si>
    <t>BDD</t>
  </si>
  <si>
    <t>SQL</t>
  </si>
  <si>
    <t>EXCEL</t>
  </si>
  <si>
    <t>VBA</t>
  </si>
  <si>
    <t>SQL
+
Exercices</t>
  </si>
  <si>
    <t>PREPARATION 
COMMERCIALE</t>
  </si>
  <si>
    <t>Présentation</t>
  </si>
  <si>
    <t>PROJET
PRATIQUE</t>
  </si>
  <si>
    <t>PLSQL</t>
  </si>
  <si>
    <t>PLSQL
+
TP</t>
  </si>
  <si>
    <t>PRESENTATION</t>
  </si>
  <si>
    <t>EXAMEN</t>
  </si>
  <si>
    <t>b</t>
  </si>
  <si>
    <t>Colonne1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</si>
  <si>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</si>
  <si>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</si>
  <si>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</si>
  <si>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</si>
  <si>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</si>
  <si>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</si>
  <si>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</si>
  <si>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</si>
  <si>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</si>
  <si>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mme</t>
  </si>
  <si>
    <t>Mme</t>
  </si>
  <si>
    <t>Mr</t>
  </si>
  <si>
    <t>Camille</t>
  </si>
  <si>
    <t>Anais</t>
  </si>
  <si>
    <t>Axel</t>
  </si>
  <si>
    <t>Arthur</t>
  </si>
  <si>
    <t>Evan</t>
  </si>
  <si>
    <t>Clara</t>
  </si>
  <si>
    <t>Emma</t>
  </si>
  <si>
    <t>Charlotte</t>
  </si>
  <si>
    <t>Adrien</t>
  </si>
  <si>
    <t>Celia</t>
  </si>
  <si>
    <t>Eva</t>
  </si>
  <si>
    <t>Alexis</t>
  </si>
  <si>
    <t>Antoine</t>
  </si>
  <si>
    <t>Adam</t>
  </si>
  <si>
    <t>Alexandre</t>
  </si>
  <si>
    <t>Ambre</t>
  </si>
  <si>
    <t>Baptiste</t>
  </si>
  <si>
    <t>Clemence</t>
  </si>
  <si>
    <t>Enzo</t>
  </si>
  <si>
    <t>Juliette</t>
  </si>
  <si>
    <t>Lena</t>
  </si>
  <si>
    <t>Léa</t>
  </si>
  <si>
    <t>Jeanne</t>
  </si>
  <si>
    <t>Julie</t>
  </si>
  <si>
    <t>Julien</t>
  </si>
  <si>
    <t>Leo</t>
  </si>
  <si>
    <t>Lucas</t>
  </si>
  <si>
    <t>Matteo</t>
  </si>
  <si>
    <t>Maeva</t>
  </si>
  <si>
    <t>Mael</t>
  </si>
  <si>
    <t>Mathilde</t>
  </si>
  <si>
    <t>Maxime</t>
  </si>
  <si>
    <t>Louise</t>
  </si>
  <si>
    <t>Lucie</t>
  </si>
  <si>
    <t>Manon</t>
  </si>
  <si>
    <t>Gabriel</t>
  </si>
  <si>
    <t>Noemie</t>
  </si>
  <si>
    <t>Raphael</t>
  </si>
  <si>
    <t>Pierre</t>
  </si>
  <si>
    <t>Quentin</t>
  </si>
  <si>
    <t>Jade</t>
  </si>
  <si>
    <t>Hugo</t>
  </si>
  <si>
    <t>Ines</t>
  </si>
  <si>
    <t>Sarah</t>
  </si>
  <si>
    <t>Laura</t>
  </si>
  <si>
    <t>Romain</t>
  </si>
  <si>
    <t>Theo</t>
  </si>
  <si>
    <t>Tom</t>
  </si>
  <si>
    <t>Jules</t>
  </si>
  <si>
    <t>Nicolas</t>
  </si>
  <si>
    <t>Lola</t>
  </si>
  <si>
    <t>Lou</t>
  </si>
  <si>
    <t>Louis</t>
  </si>
  <si>
    <t>Mathis</t>
  </si>
  <si>
    <t>Nathan</t>
  </si>
  <si>
    <t>Paul</t>
  </si>
  <si>
    <t>Oceane</t>
  </si>
  <si>
    <t>Pauline</t>
  </si>
  <si>
    <t>Romane</t>
  </si>
  <si>
    <t>Zoe</t>
  </si>
  <si>
    <t>Valentin</t>
  </si>
  <si>
    <t>Ethan</t>
  </si>
  <si>
    <t>Kylian</t>
  </si>
  <si>
    <t>Lina</t>
  </si>
  <si>
    <t>Lisa</t>
  </si>
  <si>
    <t>Maëlys</t>
  </si>
  <si>
    <t>Matheo</t>
  </si>
  <si>
    <t>Aaron</t>
  </si>
  <si>
    <t>Alicia</t>
  </si>
  <si>
    <t>Alix</t>
  </si>
  <si>
    <t>Andrea</t>
  </si>
  <si>
    <t>Antonin</t>
  </si>
  <si>
    <t>Audrey</t>
  </si>
  <si>
    <t>Angele</t>
  </si>
  <si>
    <t>Anthony</t>
  </si>
  <si>
    <t>Ayoub</t>
  </si>
  <si>
    <t>Bastien</t>
  </si>
  <si>
    <t>Adele</t>
  </si>
  <si>
    <t>Alan</t>
  </si>
  <si>
    <t>Alexia</t>
  </si>
  <si>
    <t>Amandine</t>
  </si>
  <si>
    <t>Angelina</t>
  </si>
  <si>
    <t>Aymeric</t>
  </si>
  <si>
    <t>Bryan</t>
  </si>
  <si>
    <t>Chiara</t>
  </si>
  <si>
    <t>Claire</t>
  </si>
  <si>
    <t>Coralie</t>
  </si>
  <si>
    <t>Elsa</t>
  </si>
  <si>
    <t>Agathe</t>
  </si>
  <si>
    <t>Charles</t>
  </si>
  <si>
    <t>Constance</t>
  </si>
  <si>
    <t>Elias</t>
  </si>
  <si>
    <t>Dorian</t>
  </si>
  <si>
    <t>Dylan</t>
  </si>
  <si>
    <t>Eleonore</t>
  </si>
  <si>
    <t>Elisa</t>
  </si>
  <si>
    <t>Elodie</t>
  </si>
  <si>
    <t>Fanny</t>
  </si>
  <si>
    <t>Alex</t>
  </si>
  <si>
    <t>Alice</t>
  </si>
  <si>
    <t>Anna</t>
  </si>
  <si>
    <t>Apolline</t>
  </si>
  <si>
    <t>Augustin</t>
  </si>
  <si>
    <t>Candice</t>
  </si>
  <si>
    <t>Charline</t>
  </si>
  <si>
    <t>Elise</t>
  </si>
  <si>
    <t>Emilie</t>
  </si>
  <si>
    <t>Alban</t>
  </si>
  <si>
    <t xml:space="preserve"> Martin</t>
  </si>
  <si>
    <t xml:space="preserve"> Bernard</t>
  </si>
  <si>
    <t xml:space="preserve"> Thomas</t>
  </si>
  <si>
    <t xml:space="preserve"> Petit</t>
  </si>
  <si>
    <t xml:space="preserve"> Robert</t>
  </si>
  <si>
    <t xml:space="preserve"> Richard</t>
  </si>
  <si>
    <t xml:space="preserve"> Durand</t>
  </si>
  <si>
    <t xml:space="preserve"> Dubois</t>
  </si>
  <si>
    <t xml:space="preserve"> Moreau</t>
  </si>
  <si>
    <t xml:space="preserve"> Laurent</t>
  </si>
  <si>
    <t xml:space="preserve"> Simon</t>
  </si>
  <si>
    <t xml:space="preserve"> Michel</t>
  </si>
  <si>
    <t xml:space="preserve"> Lefebvre</t>
  </si>
  <si>
    <t xml:space="preserve"> Leroy</t>
  </si>
  <si>
    <t xml:space="preserve"> Roux</t>
  </si>
  <si>
    <t xml:space="preserve"> David</t>
  </si>
  <si>
    <t xml:space="preserve"> Bertrand</t>
  </si>
  <si>
    <t xml:space="preserve"> Morel</t>
  </si>
  <si>
    <t xml:space="preserve"> Fournier</t>
  </si>
  <si>
    <t xml:space="preserve"> Girard</t>
  </si>
  <si>
    <t xml:space="preserve"> Bonnet</t>
  </si>
  <si>
    <t xml:space="preserve"> Dupont</t>
  </si>
  <si>
    <t xml:space="preserve"> Lambert</t>
  </si>
  <si>
    <t xml:space="preserve"> Fontaine</t>
  </si>
  <si>
    <t xml:space="preserve"> Rousseau</t>
  </si>
  <si>
    <t xml:space="preserve"> Vincent</t>
  </si>
  <si>
    <t xml:space="preserve"> Muller</t>
  </si>
  <si>
    <t xml:space="preserve"> Lefevre</t>
  </si>
  <si>
    <t xml:space="preserve"> Faure</t>
  </si>
  <si>
    <t xml:space="preserve"> Andre</t>
  </si>
  <si>
    <t xml:space="preserve"> Mercier</t>
  </si>
  <si>
    <t xml:space="preserve"> Blanc</t>
  </si>
  <si>
    <t xml:space="preserve"> Guerin</t>
  </si>
  <si>
    <t xml:space="preserve"> Boyer</t>
  </si>
  <si>
    <t xml:space="preserve"> Garnier</t>
  </si>
  <si>
    <t xml:space="preserve"> Chevalier</t>
  </si>
  <si>
    <t xml:space="preserve"> Francois</t>
  </si>
  <si>
    <t xml:space="preserve"> Legrand</t>
  </si>
  <si>
    <t xml:space="preserve"> Gauthier</t>
  </si>
  <si>
    <t xml:space="preserve"> Garcia</t>
  </si>
  <si>
    <t xml:space="preserve"> Perrin</t>
  </si>
  <si>
    <t xml:space="preserve"> Robin</t>
  </si>
  <si>
    <t xml:space="preserve"> Clement</t>
  </si>
  <si>
    <t xml:space="preserve"> Morin</t>
  </si>
  <si>
    <t xml:space="preserve"> Nicolas</t>
  </si>
  <si>
    <t xml:space="preserve"> Henry</t>
  </si>
  <si>
    <t xml:space="preserve"> Roussel</t>
  </si>
  <si>
    <t xml:space="preserve"> Mathieu</t>
  </si>
  <si>
    <t xml:space="preserve"> Gautier</t>
  </si>
  <si>
    <t xml:space="preserve"> Masson</t>
  </si>
  <si>
    <t xml:space="preserve"> Marchand</t>
  </si>
  <si>
    <t xml:space="preserve"> Duval</t>
  </si>
  <si>
    <t xml:space="preserve"> Denis</t>
  </si>
  <si>
    <t xml:space="preserve"> Dumont</t>
  </si>
  <si>
    <t xml:space="preserve"> Marie</t>
  </si>
  <si>
    <t xml:space="preserve"> Lemaire</t>
  </si>
  <si>
    <t xml:space="preserve"> Noel</t>
  </si>
  <si>
    <t xml:space="preserve"> Meyer</t>
  </si>
  <si>
    <t xml:space="preserve"> Dufour</t>
  </si>
  <si>
    <t xml:space="preserve"> Meunier</t>
  </si>
  <si>
    <t xml:space="preserve"> Brun</t>
  </si>
  <si>
    <t xml:space="preserve"> Blanchard</t>
  </si>
  <si>
    <t xml:space="preserve"> Giraud</t>
  </si>
  <si>
    <t xml:space="preserve"> Joly</t>
  </si>
  <si>
    <t xml:space="preserve"> Riviere</t>
  </si>
  <si>
    <t xml:space="preserve"> Lucas</t>
  </si>
  <si>
    <t xml:space="preserve"> Brunet</t>
  </si>
  <si>
    <t xml:space="preserve"> Gaillard</t>
  </si>
  <si>
    <t xml:space="preserve"> Barbier</t>
  </si>
  <si>
    <t xml:space="preserve"> Arnaud</t>
  </si>
  <si>
    <t xml:space="preserve"> Martinez</t>
  </si>
  <si>
    <t xml:space="preserve"> Gerard</t>
  </si>
  <si>
    <t xml:space="preserve"> Roche</t>
  </si>
  <si>
    <t xml:space="preserve"> Renard</t>
  </si>
  <si>
    <t xml:space="preserve"> Schmitt</t>
  </si>
  <si>
    <t xml:space="preserve"> Roy</t>
  </si>
  <si>
    <t xml:space="preserve"> Leroux</t>
  </si>
  <si>
    <t xml:space="preserve"> Colin</t>
  </si>
  <si>
    <t xml:space="preserve"> Vidal</t>
  </si>
  <si>
    <t xml:space="preserve"> Caron</t>
  </si>
  <si>
    <t xml:space="preserve"> Picard</t>
  </si>
  <si>
    <t xml:space="preserve"> Roger</t>
  </si>
  <si>
    <t xml:space="preserve"> Fabre</t>
  </si>
  <si>
    <t xml:space="preserve"> Aubert</t>
  </si>
  <si>
    <t xml:space="preserve"> Lemoine</t>
  </si>
  <si>
    <t xml:space="preserve"> Renaud</t>
  </si>
  <si>
    <t xml:space="preserve"> Dumas</t>
  </si>
  <si>
    <t xml:space="preserve"> Lacroix</t>
  </si>
  <si>
    <t xml:space="preserve"> Olivier</t>
  </si>
  <si>
    <t xml:space="preserve"> Philippe</t>
  </si>
  <si>
    <t xml:space="preserve"> Bourgeois</t>
  </si>
  <si>
    <t xml:space="preserve"> Pierre</t>
  </si>
  <si>
    <t xml:space="preserve"> Benoit</t>
  </si>
  <si>
    <t xml:space="preserve"> Rey</t>
  </si>
  <si>
    <t xml:space="preserve"> Leclerc</t>
  </si>
  <si>
    <t xml:space="preserve"> Payet</t>
  </si>
  <si>
    <t xml:space="preserve"> Rolland</t>
  </si>
  <si>
    <t xml:space="preserve"> Leclercq</t>
  </si>
  <si>
    <t xml:space="preserve"> Guillaume</t>
  </si>
  <si>
    <t xml:space="preserve"> Lecomte</t>
  </si>
  <si>
    <t>Martin</t>
  </si>
  <si>
    <t>Bernard</t>
  </si>
  <si>
    <t>Thomas</t>
  </si>
  <si>
    <t>Petit</t>
  </si>
  <si>
    <t>Robert</t>
  </si>
  <si>
    <t>Richard</t>
  </si>
  <si>
    <t>Durand</t>
  </si>
  <si>
    <t>Dubois</t>
  </si>
  <si>
    <t>Moreau</t>
  </si>
  <si>
    <t>Laurent</t>
  </si>
  <si>
    <t>Simon</t>
  </si>
  <si>
    <t>Michel</t>
  </si>
  <si>
    <t>Lefebvre</t>
  </si>
  <si>
    <t>Leroy</t>
  </si>
  <si>
    <t>Roux</t>
  </si>
  <si>
    <t>David</t>
  </si>
  <si>
    <t>Bertrand</t>
  </si>
  <si>
    <t>Morel</t>
  </si>
  <si>
    <t>Fournier</t>
  </si>
  <si>
    <t>Girard</t>
  </si>
  <si>
    <t>Bonnet</t>
  </si>
  <si>
    <t>Dupont</t>
  </si>
  <si>
    <t>Lambert</t>
  </si>
  <si>
    <t>Fontaine</t>
  </si>
  <si>
    <t>Rousseau</t>
  </si>
  <si>
    <t>Vincent</t>
  </si>
  <si>
    <t>Muller</t>
  </si>
  <si>
    <t>Lefevre</t>
  </si>
  <si>
    <t>Faure</t>
  </si>
  <si>
    <t>Andre</t>
  </si>
  <si>
    <t>Mercier</t>
  </si>
  <si>
    <t>Blanc</t>
  </si>
  <si>
    <t>Guerin</t>
  </si>
  <si>
    <t>Boyer</t>
  </si>
  <si>
    <t>Garnier</t>
  </si>
  <si>
    <t>Chevalier</t>
  </si>
  <si>
    <t>Francois</t>
  </si>
  <si>
    <t>Legrand</t>
  </si>
  <si>
    <t>Gauthier</t>
  </si>
  <si>
    <t>Garcia</t>
  </si>
  <si>
    <t>Perrin</t>
  </si>
  <si>
    <t>Robin</t>
  </si>
  <si>
    <t>Clement</t>
  </si>
  <si>
    <t>Morin</t>
  </si>
  <si>
    <t>Henry</t>
  </si>
  <si>
    <t>Roussel</t>
  </si>
  <si>
    <t>Mathieu</t>
  </si>
  <si>
    <t>Gautier</t>
  </si>
  <si>
    <t>Masson</t>
  </si>
  <si>
    <t>Marchand</t>
  </si>
  <si>
    <t>Duval</t>
  </si>
  <si>
    <t>Denis</t>
  </si>
  <si>
    <t>Dumont</t>
  </si>
  <si>
    <t>Marie</t>
  </si>
  <si>
    <t>Lemaire</t>
  </si>
  <si>
    <t>Noel</t>
  </si>
  <si>
    <t>Meyer</t>
  </si>
  <si>
    <t>Dufour</t>
  </si>
  <si>
    <t>Meunier</t>
  </si>
  <si>
    <t>Brun</t>
  </si>
  <si>
    <t>Blanchard</t>
  </si>
  <si>
    <t>Giraud</t>
  </si>
  <si>
    <t>Joly</t>
  </si>
  <si>
    <t>Riviere</t>
  </si>
  <si>
    <t>Brunet</t>
  </si>
  <si>
    <t>Gaillard</t>
  </si>
  <si>
    <t>Barbier</t>
  </si>
  <si>
    <t>Arnaud</t>
  </si>
  <si>
    <t>Martinez</t>
  </si>
  <si>
    <t>Gerard</t>
  </si>
  <si>
    <t>Roche</t>
  </si>
  <si>
    <t>Renard</t>
  </si>
  <si>
    <t>Schmitt</t>
  </si>
  <si>
    <t>Roy</t>
  </si>
  <si>
    <t>Leroux</t>
  </si>
  <si>
    <t>Colin</t>
  </si>
  <si>
    <t>Vidal</t>
  </si>
  <si>
    <t>Caron</t>
  </si>
  <si>
    <t>Picard</t>
  </si>
  <si>
    <t>Roger</t>
  </si>
  <si>
    <t>Fabre</t>
  </si>
  <si>
    <t>Aubert</t>
  </si>
  <si>
    <t>Lemoine</t>
  </si>
  <si>
    <t>Renaud</t>
  </si>
  <si>
    <t>Dumas</t>
  </si>
  <si>
    <t>Lacroix</t>
  </si>
  <si>
    <t>Olivier</t>
  </si>
  <si>
    <t>Philippe</t>
  </si>
  <si>
    <t>Bourgeois</t>
  </si>
  <si>
    <t>Benoit</t>
  </si>
  <si>
    <t>Rey</t>
  </si>
  <si>
    <t>Leclerc</t>
  </si>
  <si>
    <t>Payet</t>
  </si>
  <si>
    <t>Rolland</t>
  </si>
  <si>
    <t>Leclercq</t>
  </si>
  <si>
    <t>Guillaume</t>
  </si>
  <si>
    <t>Lecomte</t>
  </si>
  <si>
    <t>NOM</t>
  </si>
  <si>
    <t>PRENOM</t>
  </si>
  <si>
    <t>CIVILITE</t>
  </si>
  <si>
    <t>INVESTISSEMENT</t>
  </si>
  <si>
    <t>fortu</t>
  </si>
  <si>
    <t>min</t>
  </si>
  <si>
    <t>max</t>
  </si>
  <si>
    <t>vfiytiy</t>
  </si>
  <si>
    <t>jhshou</t>
  </si>
  <si>
    <t>mr</t>
  </si>
  <si>
    <t>INVEST</t>
  </si>
  <si>
    <t>valeur min</t>
  </si>
  <si>
    <t>valeur max</t>
  </si>
  <si>
    <t>bonjour</t>
  </si>
  <si>
    <t>ok</t>
  </si>
  <si>
    <t>https://annuel2.framapad.org/p/htc-promo-1221#L3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</si>
</sst>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#"/>
    <numFmt numFmtId="165" formatCode="[Black][&gt;100000]General;[Green]General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lightDown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0" borderId="0" xfId="0" applyNumberFormat="1"/>
    <xf numFmtId="0" fontId="0" fillId="3" borderId="0" xfId="0" applyFill="1"/>
    <xf numFmtId="0" fontId="0" fillId="10" borderId="0" xfId="0" applyFill="1"/>
    <xf numFmtId="3" fontId="0" fillId="0" borderId="0" xfId="0" applyNumberFormat="1"/>
    <xf numFmtId="0" fontId="1" fillId="11" borderId="4" xfId="0" applyFont="1" applyFill="1" applyBorder="1"/>
    <xf numFmtId="0" fontId="0" fillId="12" borderId="5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13" borderId="0" xfId="0" applyFill="1"/>
    <xf numFmtId="0" fontId="0" fillId="14" borderId="0" xfId="0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4" fillId="0" borderId="0" xfId="1"/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13">
    <dxf>
      <numFmt numFmtId="0" formatCode="General"/>
    </dxf>
    <dxf>
      <numFmt numFmtId="165" formatCode="[Black][&gt;100000]General;[Green]General"/>
    </dxf>
    <dxf>
      <numFmt numFmtId="3" formatCode="#,##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5"/>
        </patternFill>
      </fill>
    </dxf>
  </dxfs>
  <tableStyles count="1" defaultTableStyle="TableStyleMedium2" defaultPivotStyle="PivotStyleLight16">
    <tableStyle name="Style de tableau 1" pivot="0" count="0" xr9:uid="{BE90DC24-5F6A-4180-B70E-E7322E76350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B7416-78D8-4DD7-9F3E-A31BFEBF5229}" name="Tableau1" displayName="Tableau1" ref="E16:N26" totalsRowShown="0" headerRowDxfId="12">
  <autoFilter ref="E16:N26" xr:uid="{57F8F797-0864-4C32-920E-155BE8EF2DCB}"/>
  <tableColumns count="10">
    <tableColumn id="1" xr3:uid="{0DBEAE02-E13D-42F7-A690-35324E9A0689}" name="Colonne1" dataDxfId="11"/>
    <tableColumn id="2" xr3:uid="{9B79D28B-BD29-4B60-862C-B02CF888C4FB}" name="1">
      <calculatedColumnFormula>$E17*F$16</calculatedColumnFormula>
    </tableColumn>
    <tableColumn id="3" xr3:uid="{AE32EF83-56AA-4A9B-A7F1-35464D4CB6F7}" name="2">
      <calculatedColumnFormula>$E17*G$16</calculatedColumnFormula>
    </tableColumn>
    <tableColumn id="4" xr3:uid="{70804D74-DCFF-48DA-98AF-E71B493884FA}" name="3">
      <calculatedColumnFormula>$E17*H$16</calculatedColumnFormula>
    </tableColumn>
    <tableColumn id="5" xr3:uid="{3357FB6B-D9A1-442C-8D5A-324A6F4CD2C2}" name="4">
      <calculatedColumnFormula>$E17*I$16</calculatedColumnFormula>
    </tableColumn>
    <tableColumn id="6" xr3:uid="{59D1A1F1-C160-4649-9FDF-355E0D642CFE}" name="5">
      <calculatedColumnFormula>$E17*J$16</calculatedColumnFormula>
    </tableColumn>
    <tableColumn id="7" xr3:uid="{A9FB0AFB-97B8-4917-8F14-C0E983A1E9CC}" name="6">
      <calculatedColumnFormula>$E17*K$16</calculatedColumnFormula>
    </tableColumn>
    <tableColumn id="8" xr3:uid="{1264C38A-30CD-4D4D-930E-F38DDB5C6014}" name="7">
      <calculatedColumnFormula>$E17*L$16</calculatedColumnFormula>
    </tableColumn>
    <tableColumn id="9" xr3:uid="{09B46777-FA21-47B6-B2C3-1EC3B3199A0C}" name="8">
      <calculatedColumnFormula>$E17*M$16</calculatedColumnFormula>
    </tableColumn>
    <tableColumn id="10" xr3:uid="{C868A871-2320-412F-8BA0-9DEE38D0C7C6}" name="9">
      <calculatedColumnFormula>$E17*N$16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91C10-FA43-47B1-921D-9876E26518B4}" name="Tableau2" displayName="Tableau2" ref="B1:D101" totalsRowShown="0">
  <autoFilter ref="B1:D101" xr:uid="{C6E02B55-E359-4997-8565-135C3E3DBDD5}"/>
  <tableColumns count="3">
    <tableColumn id="1" xr3:uid="{6A3E3CBE-4C83-412A-9515-98DF3E426279}" name="NOM"/>
    <tableColumn id="2" xr3:uid="{3C328ADC-F0AD-45B5-9988-EABA10DBA3DC}" name="PRENOM"/>
    <tableColumn id="4" xr3:uid="{C347951A-778A-4F7C-AFE4-209A15E87A71}" name="INVESTISSEMENT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0AE4E6-AB4D-4246-B664-B23AB5FD1D24}" name="Tableau3" displayName="Tableau3" ref="A1:D103" totalsRowShown="0">
  <autoFilter ref="A1:D103" xr:uid="{2EDBFA4A-586F-4394-AE4B-314ED03BDF91}"/>
  <tableColumns count="4">
    <tableColumn id="1" xr3:uid="{2CBF0D0D-55B6-4876-8F21-D557EA62F270}" name="CIVILITE"/>
    <tableColumn id="2" xr3:uid="{784A8DBF-0831-48DB-9312-4AC6EA14202D}" name="NOM"/>
    <tableColumn id="3" xr3:uid="{1AD48902-0C2B-4DBB-93D5-FAF1A07862A7}" name="PRENOM"/>
    <tableColumn id="4" xr3:uid="{591743DD-7EA3-4AD5-B12D-675773FBD8D2}" name="INVESTISSEMENT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C0BB7F-A192-4F94-934A-2675B4811A8B}" name="Tableau10" displayName="Tableau10" ref="B2:F102" totalsRowShown="0">
  <autoFilter ref="B2:F102" xr:uid="{F29018B6-A7A3-4BB7-8530-118CA7FD5F9C}"/>
  <tableColumns count="5">
    <tableColumn id="1" xr3:uid="{3CA85E70-65A7-4D1E-8A98-C74E14057713}" name="CIVILITE"/>
    <tableColumn id="2" xr3:uid="{FE1EF48F-36A5-4BF2-B0CF-5E1062409022}" name="NOM"/>
    <tableColumn id="3" xr3:uid="{76639E41-6D0F-478F-9C65-45B8984D883B}" name="PRENOM" dataDxfId="2"/>
    <tableColumn id="4" xr3:uid="{BEBFFCB3-EF67-4133-8498-3FB7597DBE92}" name="INVEST" dataDxfId="1"/>
    <tableColumn id="5" xr3:uid="{05B288BF-A6AD-47B0-96E6-AE8CA3A86E96}" name="Colonne1" dataDxfId="0">
      <calculatedColumnFormula>K21+Feuil2!D2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annuel2.framapad.org/p/htc-promo-12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5400C-0EB8-412C-8A34-5E3B8CC5BD93}">
  <sheetPr codeName="Feuil1"/>
  <dimension ref="A1:N32"/>
  <sheetViews>
    <sheetView workbookViewId="0">
      <selection activeCell="B25" sqref="B25"/>
    </sheetView>
  </sheetViews>
  <sheetFormatPr baseColWidth="10" defaultRowHeight="15" x14ac:dyDescent="0.25"/>
  <cols>
    <col min="5" max="5" width="11.5703125" customWidth="1"/>
  </cols>
  <sheetData>
    <row r="1" spans="1:14" x14ac:dyDescent="0.25">
      <c r="A1" t="s">
        <v>352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14" x14ac:dyDescent="0.25">
      <c r="A2" s="1">
        <v>0.375</v>
      </c>
      <c r="B2" s="31" t="s">
        <v>7</v>
      </c>
      <c r="C2" s="32" t="s">
        <v>8</v>
      </c>
      <c r="D2" s="5" t="s">
        <v>10</v>
      </c>
      <c r="E2" s="3" t="s">
        <v>8</v>
      </c>
      <c r="F2" s="28" t="s">
        <v>13</v>
      </c>
      <c r="G2" s="2"/>
      <c r="H2" s="2"/>
    </row>
    <row r="3" spans="1:14" x14ac:dyDescent="0.25">
      <c r="A3" s="1">
        <v>0.39583333333333331</v>
      </c>
      <c r="B3" s="31"/>
      <c r="C3" s="32"/>
      <c r="D3" s="23" t="s">
        <v>11</v>
      </c>
      <c r="E3" s="33" t="s">
        <v>12</v>
      </c>
      <c r="F3" s="29"/>
      <c r="G3" s="2"/>
      <c r="H3" s="2"/>
    </row>
    <row r="4" spans="1:14" x14ac:dyDescent="0.25">
      <c r="A4" s="1">
        <v>0.41666666666666702</v>
      </c>
      <c r="B4" s="31"/>
      <c r="C4" s="27" t="s">
        <v>9</v>
      </c>
      <c r="D4" s="23"/>
      <c r="E4" s="27"/>
      <c r="F4" s="30" t="s">
        <v>14</v>
      </c>
      <c r="G4" s="2"/>
      <c r="H4" s="2"/>
    </row>
    <row r="5" spans="1:14" x14ac:dyDescent="0.25">
      <c r="A5" s="1">
        <v>0.4375</v>
      </c>
      <c r="B5" s="31"/>
      <c r="C5" s="27"/>
      <c r="D5" s="23"/>
      <c r="E5" s="27"/>
      <c r="F5" s="23"/>
      <c r="G5" s="2"/>
      <c r="H5" s="2"/>
    </row>
    <row r="6" spans="1:14" x14ac:dyDescent="0.25">
      <c r="A6" s="1">
        <v>0.45833333333333298</v>
      </c>
      <c r="B6" s="2"/>
      <c r="C6" s="2"/>
      <c r="D6" s="2"/>
      <c r="E6" s="2"/>
      <c r="F6" s="2"/>
      <c r="G6" s="2"/>
      <c r="H6" s="2"/>
    </row>
    <row r="7" spans="1:14" x14ac:dyDescent="0.25">
      <c r="A7" s="1">
        <v>0.47916666666666702</v>
      </c>
      <c r="B7" s="2"/>
      <c r="C7" s="2"/>
      <c r="D7" s="2"/>
      <c r="E7" s="2"/>
      <c r="F7" s="2"/>
      <c r="G7" s="2"/>
      <c r="H7" s="2"/>
    </row>
    <row r="8" spans="1:14" x14ac:dyDescent="0.25">
      <c r="A8" s="1">
        <v>0.5</v>
      </c>
      <c r="B8" s="22" t="s">
        <v>18</v>
      </c>
      <c r="C8" s="25" t="s">
        <v>17</v>
      </c>
      <c r="D8" s="3" t="s">
        <v>8</v>
      </c>
      <c r="E8" s="27" t="s">
        <v>9</v>
      </c>
      <c r="F8" s="20" t="s">
        <v>15</v>
      </c>
      <c r="G8" s="2"/>
      <c r="H8" s="2"/>
    </row>
    <row r="9" spans="1:14" x14ac:dyDescent="0.25">
      <c r="A9" s="1">
        <v>0.52083333333333304</v>
      </c>
      <c r="B9" s="23"/>
      <c r="C9" s="26"/>
      <c r="D9" s="4" t="s">
        <v>9</v>
      </c>
      <c r="E9" s="27"/>
      <c r="F9" s="21"/>
      <c r="G9" s="2"/>
      <c r="H9" s="2"/>
    </row>
    <row r="10" spans="1:14" x14ac:dyDescent="0.25">
      <c r="A10" s="1">
        <v>0.54166666666666696</v>
      </c>
      <c r="B10" s="24" t="s">
        <v>19</v>
      </c>
      <c r="C10" s="26"/>
      <c r="D10" s="26" t="s">
        <v>16</v>
      </c>
      <c r="E10" s="26" t="s">
        <v>16</v>
      </c>
      <c r="F10" s="21"/>
      <c r="G10" s="2"/>
      <c r="H10" s="2"/>
    </row>
    <row r="11" spans="1:14" x14ac:dyDescent="0.25">
      <c r="A11" s="1">
        <v>0.5625</v>
      </c>
      <c r="B11" s="24"/>
      <c r="C11" s="26"/>
      <c r="D11" s="26"/>
      <c r="E11" s="26"/>
      <c r="F11" s="21"/>
      <c r="G11" s="2"/>
      <c r="H11" s="2"/>
    </row>
    <row r="16" spans="1:14" x14ac:dyDescent="0.25">
      <c r="E16" t="s">
        <v>21</v>
      </c>
      <c r="F16" s="8" t="s">
        <v>22</v>
      </c>
      <c r="G16" s="8" t="s">
        <v>23</v>
      </c>
      <c r="H16" s="8" t="s">
        <v>24</v>
      </c>
      <c r="I16" s="8" t="s">
        <v>25</v>
      </c>
      <c r="J16" s="8" t="s">
        <v>26</v>
      </c>
      <c r="K16" s="8" t="s">
        <v>27</v>
      </c>
      <c r="L16" s="8" t="s">
        <v>28</v>
      </c>
      <c r="M16" s="8" t="s">
        <v>29</v>
      </c>
      <c r="N16" s="8" t="s">
        <v>30</v>
      </c>
    </row>
    <row r="17" spans="1:14" x14ac:dyDescent="0.25">
      <c r="E17" s="7">
        <v>10</v>
      </c>
      <c r="F17">
        <f t="shared" ref="F17:N26" si="0">$E17*F$16</f>
        <v>10</v>
      </c>
      <c r="G17">
        <f t="shared" si="0"/>
        <v>20</v>
      </c>
      <c r="H17">
        <f t="shared" si="0"/>
        <v>30</v>
      </c>
      <c r="I17">
        <f t="shared" si="0"/>
        <v>40</v>
      </c>
      <c r="J17">
        <f t="shared" si="0"/>
        <v>50</v>
      </c>
      <c r="K17">
        <f t="shared" si="0"/>
        <v>60</v>
      </c>
      <c r="L17">
        <f t="shared" si="0"/>
        <v>70</v>
      </c>
      <c r="M17">
        <f t="shared" si="0"/>
        <v>80</v>
      </c>
      <c r="N17">
        <f t="shared" si="0"/>
        <v>90</v>
      </c>
    </row>
    <row r="18" spans="1:14" x14ac:dyDescent="0.25">
      <c r="A18" s="6">
        <f ca="1">TODAY()</f>
        <v>44610</v>
      </c>
      <c r="E18" s="7">
        <v>9</v>
      </c>
      <c r="F18">
        <f t="shared" si="0"/>
        <v>9</v>
      </c>
      <c r="G18">
        <f t="shared" si="0"/>
        <v>18</v>
      </c>
      <c r="H18">
        <f t="shared" si="0"/>
        <v>27</v>
      </c>
      <c r="I18">
        <f t="shared" si="0"/>
        <v>36</v>
      </c>
      <c r="J18">
        <f t="shared" si="0"/>
        <v>45</v>
      </c>
      <c r="K18">
        <f t="shared" si="0"/>
        <v>54</v>
      </c>
      <c r="L18">
        <f t="shared" si="0"/>
        <v>63</v>
      </c>
      <c r="M18">
        <f t="shared" si="0"/>
        <v>72</v>
      </c>
      <c r="N18">
        <f t="shared" si="0"/>
        <v>81</v>
      </c>
    </row>
    <row r="19" spans="1:14" x14ac:dyDescent="0.25">
      <c r="A19" t="str">
        <f ca="1">TEXT(A18,"mmmm")</f>
        <v>février</v>
      </c>
      <c r="E19" s="7">
        <v>8</v>
      </c>
      <c r="F19">
        <f t="shared" si="0"/>
        <v>8</v>
      </c>
      <c r="G19">
        <f t="shared" si="0"/>
        <v>16</v>
      </c>
      <c r="H19">
        <f t="shared" si="0"/>
        <v>24</v>
      </c>
      <c r="I19">
        <f t="shared" si="0"/>
        <v>32</v>
      </c>
      <c r="J19">
        <f t="shared" si="0"/>
        <v>40</v>
      </c>
      <c r="K19">
        <f t="shared" si="0"/>
        <v>48</v>
      </c>
      <c r="L19">
        <f t="shared" si="0"/>
        <v>56</v>
      </c>
      <c r="M19">
        <f t="shared" si="0"/>
        <v>64</v>
      </c>
      <c r="N19">
        <f t="shared" si="0"/>
        <v>72</v>
      </c>
    </row>
    <row r="20" spans="1:14" x14ac:dyDescent="0.25">
      <c r="E20" s="7">
        <v>7</v>
      </c>
      <c r="F20">
        <f t="shared" si="0"/>
        <v>7</v>
      </c>
      <c r="G20">
        <f t="shared" si="0"/>
        <v>14</v>
      </c>
      <c r="H20">
        <f t="shared" si="0"/>
        <v>21</v>
      </c>
      <c r="I20">
        <f t="shared" si="0"/>
        <v>28</v>
      </c>
      <c r="J20">
        <f t="shared" si="0"/>
        <v>35</v>
      </c>
      <c r="K20">
        <f t="shared" si="0"/>
        <v>42</v>
      </c>
      <c r="L20">
        <f t="shared" si="0"/>
        <v>49</v>
      </c>
      <c r="M20">
        <f t="shared" si="0"/>
        <v>56</v>
      </c>
      <c r="N20">
        <f t="shared" si="0"/>
        <v>63</v>
      </c>
    </row>
    <row r="21" spans="1:14" x14ac:dyDescent="0.25">
      <c r="E21" s="7">
        <v>6</v>
      </c>
      <c r="F21">
        <f t="shared" si="0"/>
        <v>6</v>
      </c>
      <c r="G21">
        <f t="shared" si="0"/>
        <v>12</v>
      </c>
      <c r="H21">
        <f t="shared" si="0"/>
        <v>18</v>
      </c>
      <c r="I21">
        <f t="shared" si="0"/>
        <v>24</v>
      </c>
      <c r="J21">
        <f t="shared" si="0"/>
        <v>30</v>
      </c>
      <c r="K21">
        <f t="shared" si="0"/>
        <v>36</v>
      </c>
      <c r="L21">
        <f t="shared" si="0"/>
        <v>42</v>
      </c>
      <c r="M21">
        <f t="shared" si="0"/>
        <v>48</v>
      </c>
      <c r="N21">
        <f t="shared" si="0"/>
        <v>54</v>
      </c>
    </row>
    <row r="22" spans="1:14" x14ac:dyDescent="0.25">
      <c r="A22">
        <v>2</v>
      </c>
      <c r="E22" s="7">
        <v>5</v>
      </c>
      <c r="F22">
        <f t="shared" si="0"/>
        <v>5</v>
      </c>
      <c r="G22">
        <f t="shared" si="0"/>
        <v>10</v>
      </c>
      <c r="H22">
        <f t="shared" si="0"/>
        <v>15</v>
      </c>
      <c r="I22">
        <f t="shared" si="0"/>
        <v>20</v>
      </c>
      <c r="J22">
        <f t="shared" si="0"/>
        <v>25</v>
      </c>
      <c r="K22">
        <f t="shared" si="0"/>
        <v>30</v>
      </c>
      <c r="L22">
        <f t="shared" si="0"/>
        <v>35</v>
      </c>
      <c r="M22">
        <f t="shared" si="0"/>
        <v>40</v>
      </c>
      <c r="N22">
        <f t="shared" si="0"/>
        <v>45</v>
      </c>
    </row>
    <row r="23" spans="1:14" x14ac:dyDescent="0.25">
      <c r="E23" s="7">
        <v>4</v>
      </c>
      <c r="F23">
        <f t="shared" si="0"/>
        <v>4</v>
      </c>
      <c r="G23">
        <f t="shared" si="0"/>
        <v>8</v>
      </c>
      <c r="H23">
        <f t="shared" si="0"/>
        <v>12</v>
      </c>
      <c r="I23">
        <f t="shared" si="0"/>
        <v>16</v>
      </c>
      <c r="J23">
        <f t="shared" si="0"/>
        <v>20</v>
      </c>
      <c r="K23">
        <f t="shared" si="0"/>
        <v>24</v>
      </c>
      <c r="L23">
        <f t="shared" si="0"/>
        <v>28</v>
      </c>
      <c r="M23">
        <f t="shared" si="0"/>
        <v>32</v>
      </c>
      <c r="N23">
        <f t="shared" si="0"/>
        <v>36</v>
      </c>
    </row>
    <row r="24" spans="1:14" x14ac:dyDescent="0.25">
      <c r="B24">
        <f>age</f>
        <v>2</v>
      </c>
      <c r="E24" s="7">
        <v>3</v>
      </c>
      <c r="F24">
        <f t="shared" si="0"/>
        <v>3</v>
      </c>
      <c r="G24">
        <f t="shared" si="0"/>
        <v>6</v>
      </c>
      <c r="H24">
        <f t="shared" si="0"/>
        <v>9</v>
      </c>
      <c r="I24">
        <f t="shared" si="0"/>
        <v>12</v>
      </c>
      <c r="J24">
        <f t="shared" si="0"/>
        <v>15</v>
      </c>
      <c r="K24">
        <f t="shared" si="0"/>
        <v>18</v>
      </c>
      <c r="L24">
        <f t="shared" si="0"/>
        <v>21</v>
      </c>
      <c r="M24">
        <f t="shared" si="0"/>
        <v>24</v>
      </c>
      <c r="N24">
        <f t="shared" si="0"/>
        <v>27</v>
      </c>
    </row>
    <row r="25" spans="1:14" x14ac:dyDescent="0.25">
      <c r="E25" s="7">
        <v>2</v>
      </c>
      <c r="F25">
        <f t="shared" si="0"/>
        <v>2</v>
      </c>
      <c r="G25">
        <f t="shared" si="0"/>
        <v>4</v>
      </c>
      <c r="H25">
        <f t="shared" si="0"/>
        <v>6</v>
      </c>
      <c r="I25">
        <f t="shared" si="0"/>
        <v>8</v>
      </c>
      <c r="J25">
        <f t="shared" si="0"/>
        <v>10</v>
      </c>
      <c r="K25">
        <f t="shared" si="0"/>
        <v>12</v>
      </c>
      <c r="L25">
        <f t="shared" si="0"/>
        <v>14</v>
      </c>
      <c r="M25">
        <f t="shared" si="0"/>
        <v>16</v>
      </c>
      <c r="N25">
        <f t="shared" si="0"/>
        <v>18</v>
      </c>
    </row>
    <row r="26" spans="1:14" x14ac:dyDescent="0.25">
      <c r="E26" s="7">
        <v>1</v>
      </c>
      <c r="F26">
        <f t="shared" si="0"/>
        <v>1</v>
      </c>
      <c r="G26">
        <f t="shared" si="0"/>
        <v>2</v>
      </c>
      <c r="H26">
        <f t="shared" si="0"/>
        <v>3</v>
      </c>
      <c r="I26">
        <f t="shared" si="0"/>
        <v>4</v>
      </c>
      <c r="J26">
        <f t="shared" si="0"/>
        <v>5</v>
      </c>
      <c r="K26">
        <f t="shared" si="0"/>
        <v>6</v>
      </c>
      <c r="L26">
        <f t="shared" si="0"/>
        <v>7</v>
      </c>
      <c r="M26">
        <f t="shared" si="0"/>
        <v>8</v>
      </c>
      <c r="N26">
        <f t="shared" si="0"/>
        <v>9</v>
      </c>
    </row>
    <row r="27" spans="1:14" x14ac:dyDescent="0.25">
      <c r="H27" s="6"/>
    </row>
    <row r="28" spans="1:14" x14ac:dyDescent="0.25">
      <c r="H28" s="6"/>
    </row>
    <row r="29" spans="1:14" x14ac:dyDescent="0.25">
      <c r="H29" s="6"/>
    </row>
    <row r="30" spans="1:14" x14ac:dyDescent="0.25">
      <c r="H30" s="6"/>
    </row>
    <row r="31" spans="1:14" x14ac:dyDescent="0.25">
      <c r="H31" s="6"/>
    </row>
    <row r="32" spans="1:14" x14ac:dyDescent="0.25">
      <c r="H32" s="6"/>
    </row>
  </sheetData>
  <sortState xmlns:xlrd2="http://schemas.microsoft.com/office/spreadsheetml/2017/richdata2" ref="E17:N26">
    <sortCondition descending="1" ref="E17:E26"/>
    <sortCondition descending="1" ref="F17:F26"/>
  </sortState>
  <mergeCells count="14">
    <mergeCell ref="F2:F3"/>
    <mergeCell ref="F4:F5"/>
    <mergeCell ref="B2:B5"/>
    <mergeCell ref="C2:C3"/>
    <mergeCell ref="C4:C5"/>
    <mergeCell ref="D3:D5"/>
    <mergeCell ref="E3:E5"/>
    <mergeCell ref="F8:F11"/>
    <mergeCell ref="B8:B9"/>
    <mergeCell ref="B10:B11"/>
    <mergeCell ref="C8:C11"/>
    <mergeCell ref="D10:D11"/>
    <mergeCell ref="E8:E9"/>
    <mergeCell ref="E10:E1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FD9DF-B687-4D18-A741-3CFD346825F0}">
  <sheetPr codeName="Feuil2"/>
  <dimension ref="A1:G101"/>
  <sheetViews>
    <sheetView workbookViewId="0">
      <selection activeCell="G15" sqref="G15"/>
    </sheetView>
  </sheetViews>
  <sheetFormatPr baseColWidth="10" defaultRowHeight="15" x14ac:dyDescent="0.25"/>
  <cols>
    <col min="1" max="1" width="10" customWidth="1"/>
    <col min="4" max="4" width="17.140625" customWidth="1"/>
  </cols>
  <sheetData>
    <row r="1" spans="1:7" ht="15.75" thickBot="1" x14ac:dyDescent="0.3">
      <c r="A1" s="10" t="s">
        <v>341</v>
      </c>
      <c r="B1" t="s">
        <v>339</v>
      </c>
      <c r="C1" t="s">
        <v>340</v>
      </c>
      <c r="D1" t="s">
        <v>342</v>
      </c>
    </row>
    <row r="2" spans="1:7" x14ac:dyDescent="0.25">
      <c r="A2" s="11" t="s">
        <v>32</v>
      </c>
      <c r="B2" t="s">
        <v>242</v>
      </c>
      <c r="C2" t="s">
        <v>101</v>
      </c>
      <c r="D2">
        <v>85867</v>
      </c>
    </row>
    <row r="3" spans="1:7" x14ac:dyDescent="0.25">
      <c r="A3" s="12" t="s">
        <v>33</v>
      </c>
      <c r="B3" t="s">
        <v>243</v>
      </c>
      <c r="C3" t="s">
        <v>47</v>
      </c>
      <c r="D3">
        <v>78398</v>
      </c>
    </row>
    <row r="4" spans="1:7" x14ac:dyDescent="0.25">
      <c r="A4" s="11" t="s">
        <v>33</v>
      </c>
      <c r="B4" t="s">
        <v>244</v>
      </c>
      <c r="C4" t="s">
        <v>111</v>
      </c>
      <c r="D4">
        <v>107994</v>
      </c>
    </row>
    <row r="5" spans="1:7" x14ac:dyDescent="0.25">
      <c r="A5" s="12" t="s">
        <v>32</v>
      </c>
      <c r="B5" t="s">
        <v>245</v>
      </c>
      <c r="C5" t="s">
        <v>42</v>
      </c>
      <c r="D5">
        <v>10767</v>
      </c>
    </row>
    <row r="6" spans="1:7" x14ac:dyDescent="0.25">
      <c r="A6" s="11" t="s">
        <v>33</v>
      </c>
      <c r="B6" t="s">
        <v>246</v>
      </c>
      <c r="C6" t="s">
        <v>122</v>
      </c>
      <c r="D6">
        <v>131609</v>
      </c>
    </row>
    <row r="7" spans="1:7" x14ac:dyDescent="0.25">
      <c r="A7" s="12" t="s">
        <v>32</v>
      </c>
      <c r="B7" t="s">
        <v>247</v>
      </c>
      <c r="C7" t="s">
        <v>112</v>
      </c>
      <c r="D7">
        <v>44324</v>
      </c>
    </row>
    <row r="8" spans="1:7" x14ac:dyDescent="0.25">
      <c r="A8" s="11" t="s">
        <v>32</v>
      </c>
      <c r="B8" t="s">
        <v>248</v>
      </c>
      <c r="C8" t="s">
        <v>141</v>
      </c>
      <c r="D8">
        <v>34414</v>
      </c>
    </row>
    <row r="9" spans="1:7" x14ac:dyDescent="0.25">
      <c r="A9" s="12" t="s">
        <v>33</v>
      </c>
      <c r="B9" t="s">
        <v>249</v>
      </c>
      <c r="C9" t="s">
        <v>132</v>
      </c>
      <c r="D9">
        <v>163687</v>
      </c>
    </row>
    <row r="10" spans="1:7" x14ac:dyDescent="0.25">
      <c r="A10" s="11" t="s">
        <v>33</v>
      </c>
      <c r="B10" t="s">
        <v>250</v>
      </c>
      <c r="C10" t="s">
        <v>48</v>
      </c>
      <c r="D10">
        <v>197994</v>
      </c>
    </row>
    <row r="11" spans="1:7" x14ac:dyDescent="0.25">
      <c r="A11" s="12" t="s">
        <v>32</v>
      </c>
      <c r="B11" t="s">
        <v>251</v>
      </c>
      <c r="C11" t="s">
        <v>113</v>
      </c>
      <c r="D11">
        <v>124228</v>
      </c>
    </row>
    <row r="12" spans="1:7" x14ac:dyDescent="0.25">
      <c r="A12" s="11" t="s">
        <v>33</v>
      </c>
      <c r="B12" t="s">
        <v>252</v>
      </c>
      <c r="C12" t="s">
        <v>45</v>
      </c>
      <c r="D12">
        <v>184941</v>
      </c>
    </row>
    <row r="13" spans="1:7" x14ac:dyDescent="0.25">
      <c r="A13" s="12" t="s">
        <v>32</v>
      </c>
      <c r="B13" t="s">
        <v>253</v>
      </c>
      <c r="C13" t="s">
        <v>133</v>
      </c>
      <c r="D13">
        <v>14566</v>
      </c>
    </row>
    <row r="14" spans="1:7" x14ac:dyDescent="0.25">
      <c r="A14" s="11" t="s">
        <v>32</v>
      </c>
      <c r="B14" t="s">
        <v>254</v>
      </c>
      <c r="C14" t="s">
        <v>102</v>
      </c>
      <c r="D14">
        <v>120095</v>
      </c>
    </row>
    <row r="15" spans="1:7" x14ac:dyDescent="0.25">
      <c r="A15" s="12" t="s">
        <v>33</v>
      </c>
      <c r="B15" t="s">
        <v>255</v>
      </c>
      <c r="C15" t="s">
        <v>103</v>
      </c>
      <c r="D15">
        <v>181833</v>
      </c>
      <c r="G15">
        <v>858</v>
      </c>
    </row>
    <row r="16" spans="1:7" x14ac:dyDescent="0.25">
      <c r="A16" s="11" t="s">
        <v>33</v>
      </c>
      <c r="B16" t="s">
        <v>256</v>
      </c>
      <c r="C16" t="s">
        <v>114</v>
      </c>
      <c r="D16">
        <v>53206</v>
      </c>
    </row>
    <row r="17" spans="1:4" x14ac:dyDescent="0.25">
      <c r="A17" s="12" t="s">
        <v>32</v>
      </c>
      <c r="B17" t="s">
        <v>257</v>
      </c>
      <c r="C17" t="s">
        <v>49</v>
      </c>
      <c r="D17">
        <v>198291</v>
      </c>
    </row>
    <row r="18" spans="1:4" x14ac:dyDescent="0.25">
      <c r="A18" s="11" t="s">
        <v>33</v>
      </c>
      <c r="B18" t="s">
        <v>258</v>
      </c>
      <c r="C18" t="s">
        <v>35</v>
      </c>
      <c r="D18">
        <v>177418</v>
      </c>
    </row>
    <row r="19" spans="1:4" x14ac:dyDescent="0.25">
      <c r="A19" s="12" t="s">
        <v>32</v>
      </c>
      <c r="B19" t="s">
        <v>259</v>
      </c>
      <c r="C19" t="s">
        <v>104</v>
      </c>
      <c r="D19">
        <v>83305</v>
      </c>
    </row>
    <row r="20" spans="1:4" x14ac:dyDescent="0.25">
      <c r="A20" s="11" t="s">
        <v>32</v>
      </c>
      <c r="B20" t="s">
        <v>260</v>
      </c>
      <c r="C20" t="s">
        <v>107</v>
      </c>
      <c r="D20">
        <v>164628</v>
      </c>
    </row>
    <row r="21" spans="1:4" x14ac:dyDescent="0.25">
      <c r="A21" s="12" t="s">
        <v>33</v>
      </c>
      <c r="B21" t="s">
        <v>261</v>
      </c>
      <c r="C21" t="s">
        <v>115</v>
      </c>
      <c r="D21">
        <v>96051</v>
      </c>
    </row>
    <row r="22" spans="1:4" x14ac:dyDescent="0.25">
      <c r="A22" s="11" t="s">
        <v>33</v>
      </c>
      <c r="B22" t="s">
        <v>262</v>
      </c>
      <c r="C22" t="s">
        <v>134</v>
      </c>
      <c r="D22">
        <v>97289</v>
      </c>
    </row>
    <row r="23" spans="1:4" x14ac:dyDescent="0.25">
      <c r="A23" s="12" t="s">
        <v>32</v>
      </c>
      <c r="B23" t="s">
        <v>263</v>
      </c>
      <c r="C23" t="s">
        <v>108</v>
      </c>
      <c r="D23">
        <v>9135</v>
      </c>
    </row>
    <row r="24" spans="1:4" x14ac:dyDescent="0.25">
      <c r="A24" s="11" t="s">
        <v>33</v>
      </c>
      <c r="B24" t="s">
        <v>264</v>
      </c>
      <c r="C24" t="s">
        <v>46</v>
      </c>
      <c r="D24">
        <v>130971</v>
      </c>
    </row>
    <row r="25" spans="1:4" x14ac:dyDescent="0.25">
      <c r="A25" s="12" t="s">
        <v>32</v>
      </c>
      <c r="B25" t="s">
        <v>265</v>
      </c>
      <c r="C25" t="s">
        <v>105</v>
      </c>
      <c r="D25">
        <v>134374</v>
      </c>
    </row>
    <row r="26" spans="1:4" x14ac:dyDescent="0.25">
      <c r="A26" s="11" t="s">
        <v>32</v>
      </c>
      <c r="B26" t="s">
        <v>266</v>
      </c>
      <c r="C26" t="s">
        <v>135</v>
      </c>
      <c r="D26">
        <v>116568</v>
      </c>
    </row>
    <row r="27" spans="1:4" x14ac:dyDescent="0.25">
      <c r="A27" s="12" t="s">
        <v>33</v>
      </c>
      <c r="B27" t="s">
        <v>267</v>
      </c>
      <c r="C27" t="s">
        <v>37</v>
      </c>
      <c r="D27">
        <v>126114</v>
      </c>
    </row>
    <row r="28" spans="1:4" x14ac:dyDescent="0.25">
      <c r="A28" s="11" t="s">
        <v>33</v>
      </c>
      <c r="B28" t="s">
        <v>268</v>
      </c>
      <c r="C28" t="s">
        <v>106</v>
      </c>
      <c r="D28">
        <v>214</v>
      </c>
    </row>
    <row r="29" spans="1:4" x14ac:dyDescent="0.25">
      <c r="A29" s="12" t="s">
        <v>32</v>
      </c>
      <c r="B29" t="s">
        <v>269</v>
      </c>
      <c r="C29" t="s">
        <v>136</v>
      </c>
      <c r="D29">
        <v>117754</v>
      </c>
    </row>
    <row r="30" spans="1:4" x14ac:dyDescent="0.25">
      <c r="A30" s="11" t="s">
        <v>33</v>
      </c>
      <c r="B30" t="s">
        <v>270</v>
      </c>
      <c r="C30" t="s">
        <v>36</v>
      </c>
      <c r="D30">
        <v>51139</v>
      </c>
    </row>
    <row r="31" spans="1:4" x14ac:dyDescent="0.25">
      <c r="A31" s="12" t="s">
        <v>32</v>
      </c>
      <c r="B31" t="s">
        <v>271</v>
      </c>
      <c r="C31" t="s">
        <v>116</v>
      </c>
      <c r="D31">
        <v>66398</v>
      </c>
    </row>
    <row r="32" spans="1:4" x14ac:dyDescent="0.25">
      <c r="A32" s="11" t="s">
        <v>32</v>
      </c>
      <c r="B32" t="s">
        <v>272</v>
      </c>
      <c r="C32" t="s">
        <v>109</v>
      </c>
      <c r="D32">
        <v>89050</v>
      </c>
    </row>
    <row r="33" spans="1:4" x14ac:dyDescent="0.25">
      <c r="A33" s="12" t="s">
        <v>33</v>
      </c>
      <c r="B33" t="s">
        <v>273</v>
      </c>
      <c r="C33" t="s">
        <v>50</v>
      </c>
      <c r="D33">
        <v>185686</v>
      </c>
    </row>
    <row r="34" spans="1:4" x14ac:dyDescent="0.25">
      <c r="A34" s="11" t="s">
        <v>33</v>
      </c>
      <c r="B34" t="s">
        <v>274</v>
      </c>
      <c r="C34" t="s">
        <v>110</v>
      </c>
      <c r="D34">
        <v>17112</v>
      </c>
    </row>
    <row r="35" spans="1:4" x14ac:dyDescent="0.25">
      <c r="A35" s="12" t="s">
        <v>32</v>
      </c>
      <c r="B35" t="s">
        <v>275</v>
      </c>
      <c r="C35" t="s">
        <v>117</v>
      </c>
      <c r="D35">
        <v>133092</v>
      </c>
    </row>
    <row r="36" spans="1:4" x14ac:dyDescent="0.25">
      <c r="A36" s="11" t="s">
        <v>33</v>
      </c>
      <c r="B36" t="s">
        <v>276</v>
      </c>
      <c r="C36" t="s">
        <v>34</v>
      </c>
      <c r="D36">
        <v>52363</v>
      </c>
    </row>
    <row r="37" spans="1:4" x14ac:dyDescent="0.25">
      <c r="A37" s="12" t="s">
        <v>32</v>
      </c>
      <c r="B37" t="s">
        <v>277</v>
      </c>
      <c r="C37" t="s">
        <v>137</v>
      </c>
      <c r="D37">
        <v>94262</v>
      </c>
    </row>
    <row r="38" spans="1:4" x14ac:dyDescent="0.25">
      <c r="A38" s="11" t="s">
        <v>32</v>
      </c>
      <c r="B38" t="s">
        <v>278</v>
      </c>
      <c r="C38" t="s">
        <v>43</v>
      </c>
      <c r="D38">
        <v>62594</v>
      </c>
    </row>
    <row r="39" spans="1:4" x14ac:dyDescent="0.25">
      <c r="A39" s="12" t="s">
        <v>33</v>
      </c>
      <c r="B39" t="s">
        <v>279</v>
      </c>
      <c r="C39" t="s">
        <v>123</v>
      </c>
      <c r="D39">
        <v>144069</v>
      </c>
    </row>
    <row r="40" spans="1:4" x14ac:dyDescent="0.25">
      <c r="A40" s="11" t="s">
        <v>33</v>
      </c>
      <c r="B40" t="s">
        <v>280</v>
      </c>
      <c r="C40" t="s">
        <v>138</v>
      </c>
      <c r="D40">
        <v>186493</v>
      </c>
    </row>
    <row r="41" spans="1:4" x14ac:dyDescent="0.25">
      <c r="A41" s="12" t="s">
        <v>32</v>
      </c>
      <c r="B41" t="s">
        <v>281</v>
      </c>
      <c r="C41" t="s">
        <v>41</v>
      </c>
      <c r="D41">
        <v>40741</v>
      </c>
    </row>
    <row r="42" spans="1:4" x14ac:dyDescent="0.25">
      <c r="A42" s="11" t="s">
        <v>33</v>
      </c>
      <c r="B42" t="s">
        <v>282</v>
      </c>
      <c r="C42" t="s">
        <v>118</v>
      </c>
      <c r="D42">
        <v>17608</v>
      </c>
    </row>
    <row r="43" spans="1:4" x14ac:dyDescent="0.25">
      <c r="A43" s="12" t="s">
        <v>32</v>
      </c>
      <c r="B43" t="s">
        <v>283</v>
      </c>
      <c r="C43" t="s">
        <v>119</v>
      </c>
      <c r="D43">
        <v>113499</v>
      </c>
    </row>
    <row r="44" spans="1:4" x14ac:dyDescent="0.25">
      <c r="A44" s="11" t="s">
        <v>32</v>
      </c>
      <c r="B44" t="s">
        <v>284</v>
      </c>
      <c r="C44" t="s">
        <v>39</v>
      </c>
      <c r="D44">
        <v>67865</v>
      </c>
    </row>
    <row r="45" spans="1:4" x14ac:dyDescent="0.25">
      <c r="A45" s="12" t="s">
        <v>33</v>
      </c>
      <c r="B45" t="s">
        <v>285</v>
      </c>
      <c r="C45" t="s">
        <v>51</v>
      </c>
      <c r="D45">
        <v>163404</v>
      </c>
    </row>
    <row r="46" spans="1:4" x14ac:dyDescent="0.25">
      <c r="A46" s="11" t="s">
        <v>33</v>
      </c>
      <c r="B46" t="s">
        <v>83</v>
      </c>
      <c r="C46" t="s">
        <v>124</v>
      </c>
      <c r="D46">
        <v>106109</v>
      </c>
    </row>
    <row r="47" spans="1:4" x14ac:dyDescent="0.25">
      <c r="A47" s="12" t="s">
        <v>32</v>
      </c>
      <c r="B47" t="s">
        <v>286</v>
      </c>
      <c r="C47" t="s">
        <v>120</v>
      </c>
      <c r="D47">
        <v>148653</v>
      </c>
    </row>
    <row r="48" spans="1:4" x14ac:dyDescent="0.25">
      <c r="A48" s="11" t="s">
        <v>33</v>
      </c>
      <c r="B48" t="s">
        <v>287</v>
      </c>
      <c r="C48" t="s">
        <v>126</v>
      </c>
      <c r="D48">
        <v>135899</v>
      </c>
    </row>
    <row r="49" spans="1:4" x14ac:dyDescent="0.25">
      <c r="A49" s="12" t="s">
        <v>32</v>
      </c>
      <c r="B49" t="s">
        <v>288</v>
      </c>
      <c r="C49" t="s">
        <v>127</v>
      </c>
      <c r="D49">
        <v>117659</v>
      </c>
    </row>
    <row r="50" spans="1:4" x14ac:dyDescent="0.25">
      <c r="A50" s="11" t="s">
        <v>32</v>
      </c>
      <c r="B50" t="s">
        <v>289</v>
      </c>
      <c r="C50" t="s">
        <v>128</v>
      </c>
      <c r="D50">
        <v>123196</v>
      </c>
    </row>
    <row r="51" spans="1:4" x14ac:dyDescent="0.25">
      <c r="A51" s="12" t="s">
        <v>33</v>
      </c>
      <c r="B51" t="s">
        <v>290</v>
      </c>
      <c r="C51" t="s">
        <v>125</v>
      </c>
      <c r="D51">
        <v>53870</v>
      </c>
    </row>
    <row r="52" spans="1:4" x14ac:dyDescent="0.25">
      <c r="A52" s="11" t="s">
        <v>33</v>
      </c>
      <c r="B52" t="s">
        <v>291</v>
      </c>
      <c r="C52" t="s">
        <v>129</v>
      </c>
      <c r="D52">
        <v>128810</v>
      </c>
    </row>
    <row r="53" spans="1:4" x14ac:dyDescent="0.25">
      <c r="A53" s="12" t="s">
        <v>32</v>
      </c>
      <c r="B53" t="s">
        <v>292</v>
      </c>
      <c r="C53" t="s">
        <v>139</v>
      </c>
      <c r="D53">
        <v>60839</v>
      </c>
    </row>
    <row r="54" spans="1:4" x14ac:dyDescent="0.25">
      <c r="A54" s="11" t="s">
        <v>33</v>
      </c>
      <c r="B54" t="s">
        <v>293</v>
      </c>
      <c r="C54" t="s">
        <v>130</v>
      </c>
      <c r="D54">
        <v>9075</v>
      </c>
    </row>
    <row r="55" spans="1:4" x14ac:dyDescent="0.25">
      <c r="A55" s="12" t="s">
        <v>32</v>
      </c>
      <c r="B55" t="s">
        <v>294</v>
      </c>
      <c r="C55" t="s">
        <v>121</v>
      </c>
      <c r="D55">
        <v>147800</v>
      </c>
    </row>
    <row r="56" spans="1:4" x14ac:dyDescent="0.25">
      <c r="A56" s="11" t="s">
        <v>32</v>
      </c>
      <c r="B56" t="s">
        <v>295</v>
      </c>
      <c r="C56" t="s">
        <v>140</v>
      </c>
      <c r="D56">
        <v>12333</v>
      </c>
    </row>
    <row r="57" spans="1:4" x14ac:dyDescent="0.25">
      <c r="A57" s="12" t="s">
        <v>33</v>
      </c>
      <c r="B57" t="s">
        <v>296</v>
      </c>
      <c r="C57" t="s">
        <v>40</v>
      </c>
      <c r="D57">
        <v>39269</v>
      </c>
    </row>
    <row r="58" spans="1:4" x14ac:dyDescent="0.25">
      <c r="A58" s="11" t="s">
        <v>33</v>
      </c>
      <c r="B58" t="s">
        <v>297</v>
      </c>
      <c r="C58" t="s">
        <v>52</v>
      </c>
      <c r="D58">
        <v>113626</v>
      </c>
    </row>
    <row r="59" spans="1:4" x14ac:dyDescent="0.25">
      <c r="A59" s="12" t="s">
        <v>32</v>
      </c>
      <c r="B59" t="s">
        <v>298</v>
      </c>
      <c r="C59" t="s">
        <v>95</v>
      </c>
      <c r="D59">
        <v>33952</v>
      </c>
    </row>
    <row r="60" spans="1:4" x14ac:dyDescent="0.25">
      <c r="A60" s="11" t="s">
        <v>33</v>
      </c>
      <c r="B60" t="s">
        <v>299</v>
      </c>
      <c r="C60" t="s">
        <v>44</v>
      </c>
      <c r="D60">
        <v>15690</v>
      </c>
    </row>
    <row r="61" spans="1:4" x14ac:dyDescent="0.25">
      <c r="A61" s="12" t="s">
        <v>32</v>
      </c>
      <c r="B61" t="s">
        <v>300</v>
      </c>
      <c r="C61" t="s">
        <v>38</v>
      </c>
      <c r="D61">
        <v>66190</v>
      </c>
    </row>
    <row r="62" spans="1:4" x14ac:dyDescent="0.25">
      <c r="A62" s="11" t="s">
        <v>32</v>
      </c>
      <c r="B62" t="s">
        <v>301</v>
      </c>
      <c r="C62" t="s">
        <v>131</v>
      </c>
      <c r="D62">
        <v>25691</v>
      </c>
    </row>
    <row r="63" spans="1:4" x14ac:dyDescent="0.25">
      <c r="A63" s="12" t="s">
        <v>33</v>
      </c>
      <c r="B63" t="s">
        <v>302</v>
      </c>
      <c r="C63" t="s">
        <v>69</v>
      </c>
      <c r="D63">
        <v>118100</v>
      </c>
    </row>
    <row r="64" spans="1:4" x14ac:dyDescent="0.25">
      <c r="A64" s="11" t="s">
        <v>33</v>
      </c>
      <c r="B64" t="s">
        <v>303</v>
      </c>
      <c r="C64" t="s">
        <v>75</v>
      </c>
      <c r="D64">
        <v>185840</v>
      </c>
    </row>
    <row r="65" spans="1:4" x14ac:dyDescent="0.25">
      <c r="A65" s="12" t="s">
        <v>32</v>
      </c>
      <c r="B65" t="s">
        <v>304</v>
      </c>
      <c r="C65" t="s">
        <v>76</v>
      </c>
      <c r="D65">
        <v>10447</v>
      </c>
    </row>
    <row r="66" spans="1:4" x14ac:dyDescent="0.25">
      <c r="A66" s="11" t="s">
        <v>33</v>
      </c>
      <c r="B66" t="s">
        <v>305</v>
      </c>
      <c r="C66" t="s">
        <v>74</v>
      </c>
      <c r="D66">
        <v>165959</v>
      </c>
    </row>
    <row r="67" spans="1:4" x14ac:dyDescent="0.25">
      <c r="A67" s="12" t="s">
        <v>32</v>
      </c>
      <c r="B67" t="s">
        <v>60</v>
      </c>
      <c r="C67" t="s">
        <v>56</v>
      </c>
      <c r="D67">
        <v>140944</v>
      </c>
    </row>
    <row r="68" spans="1:4" x14ac:dyDescent="0.25">
      <c r="A68" s="11" t="s">
        <v>32</v>
      </c>
      <c r="B68" t="s">
        <v>306</v>
      </c>
      <c r="C68" t="s">
        <v>82</v>
      </c>
      <c r="D68">
        <v>190088</v>
      </c>
    </row>
    <row r="69" spans="1:4" x14ac:dyDescent="0.25">
      <c r="A69" s="12" t="s">
        <v>33</v>
      </c>
      <c r="B69" t="s">
        <v>307</v>
      </c>
      <c r="C69" t="s">
        <v>57</v>
      </c>
      <c r="D69">
        <v>100057</v>
      </c>
    </row>
    <row r="70" spans="1:4" x14ac:dyDescent="0.25">
      <c r="A70" s="11" t="s">
        <v>33</v>
      </c>
      <c r="B70" t="s">
        <v>308</v>
      </c>
      <c r="C70" t="s">
        <v>58</v>
      </c>
      <c r="D70">
        <v>51100</v>
      </c>
    </row>
    <row r="71" spans="1:4" x14ac:dyDescent="0.25">
      <c r="A71" s="12" t="s">
        <v>32</v>
      </c>
      <c r="B71" t="s">
        <v>309</v>
      </c>
      <c r="C71" t="s">
        <v>53</v>
      </c>
      <c r="D71">
        <v>1744</v>
      </c>
    </row>
    <row r="72" spans="1:4" x14ac:dyDescent="0.25">
      <c r="A72" s="11" t="s">
        <v>33</v>
      </c>
      <c r="B72" t="s">
        <v>310</v>
      </c>
      <c r="C72" t="s">
        <v>96</v>
      </c>
      <c r="D72">
        <v>83056</v>
      </c>
    </row>
    <row r="73" spans="1:4" x14ac:dyDescent="0.25">
      <c r="A73" s="12" t="s">
        <v>32</v>
      </c>
      <c r="B73" t="s">
        <v>311</v>
      </c>
      <c r="C73" t="s">
        <v>78</v>
      </c>
      <c r="D73">
        <v>79721</v>
      </c>
    </row>
    <row r="74" spans="1:4" x14ac:dyDescent="0.25">
      <c r="A74" s="11" t="s">
        <v>32</v>
      </c>
      <c r="B74" t="s">
        <v>312</v>
      </c>
      <c r="C74" t="s">
        <v>55</v>
      </c>
      <c r="D74">
        <v>90748</v>
      </c>
    </row>
    <row r="75" spans="1:4" x14ac:dyDescent="0.25">
      <c r="A75" s="12" t="s">
        <v>33</v>
      </c>
      <c r="B75" t="s">
        <v>313</v>
      </c>
      <c r="C75" t="s">
        <v>54</v>
      </c>
      <c r="D75">
        <v>29732</v>
      </c>
    </row>
    <row r="76" spans="1:4" x14ac:dyDescent="0.25">
      <c r="A76" s="11" t="s">
        <v>33</v>
      </c>
      <c r="B76" t="s">
        <v>314</v>
      </c>
      <c r="C76" t="s">
        <v>59</v>
      </c>
      <c r="D76">
        <v>17476</v>
      </c>
    </row>
    <row r="77" spans="1:4" x14ac:dyDescent="0.25">
      <c r="A77" s="12" t="s">
        <v>32</v>
      </c>
      <c r="B77" t="s">
        <v>315</v>
      </c>
      <c r="C77" t="s">
        <v>97</v>
      </c>
      <c r="D77">
        <v>193660</v>
      </c>
    </row>
    <row r="78" spans="1:4" x14ac:dyDescent="0.25">
      <c r="A78" s="11" t="s">
        <v>33</v>
      </c>
      <c r="B78" t="s">
        <v>316</v>
      </c>
      <c r="C78" t="s">
        <v>98</v>
      </c>
      <c r="D78">
        <v>54996</v>
      </c>
    </row>
    <row r="79" spans="1:4" x14ac:dyDescent="0.25">
      <c r="A79" s="12" t="s">
        <v>32</v>
      </c>
      <c r="B79" t="s">
        <v>317</v>
      </c>
      <c r="C79" t="s">
        <v>84</v>
      </c>
      <c r="D79">
        <v>44993</v>
      </c>
    </row>
    <row r="80" spans="1:4" x14ac:dyDescent="0.25">
      <c r="A80" s="11" t="s">
        <v>32</v>
      </c>
      <c r="B80" t="s">
        <v>318</v>
      </c>
      <c r="C80" t="s">
        <v>85</v>
      </c>
      <c r="D80">
        <v>167484</v>
      </c>
    </row>
    <row r="81" spans="1:4" x14ac:dyDescent="0.25">
      <c r="A81" s="12" t="s">
        <v>33</v>
      </c>
      <c r="B81" t="s">
        <v>319</v>
      </c>
      <c r="C81" t="s">
        <v>86</v>
      </c>
      <c r="D81">
        <v>198411</v>
      </c>
    </row>
    <row r="82" spans="1:4" x14ac:dyDescent="0.25">
      <c r="A82" s="11" t="s">
        <v>33</v>
      </c>
      <c r="B82" t="s">
        <v>320</v>
      </c>
      <c r="C82" t="s">
        <v>66</v>
      </c>
      <c r="D82">
        <v>20030</v>
      </c>
    </row>
    <row r="83" spans="1:4" x14ac:dyDescent="0.25">
      <c r="A83" s="12" t="s">
        <v>32</v>
      </c>
      <c r="B83" t="s">
        <v>321</v>
      </c>
      <c r="C83" t="s">
        <v>60</v>
      </c>
      <c r="D83">
        <v>78606</v>
      </c>
    </row>
    <row r="84" spans="1:4" x14ac:dyDescent="0.25">
      <c r="A84" s="11" t="s">
        <v>33</v>
      </c>
      <c r="B84" t="s">
        <v>322</v>
      </c>
      <c r="C84" t="s">
        <v>67</v>
      </c>
      <c r="D84">
        <v>193701</v>
      </c>
    </row>
    <row r="85" spans="1:4" x14ac:dyDescent="0.25">
      <c r="A85" s="12" t="s">
        <v>32</v>
      </c>
      <c r="B85" t="s">
        <v>323</v>
      </c>
      <c r="C85" t="s">
        <v>63</v>
      </c>
      <c r="D85">
        <v>148569</v>
      </c>
    </row>
    <row r="86" spans="1:4" x14ac:dyDescent="0.25">
      <c r="A86" s="11" t="s">
        <v>32</v>
      </c>
      <c r="B86" t="s">
        <v>324</v>
      </c>
      <c r="C86" t="s">
        <v>99</v>
      </c>
      <c r="D86">
        <v>177746</v>
      </c>
    </row>
    <row r="87" spans="1:4" x14ac:dyDescent="0.25">
      <c r="A87" s="12" t="s">
        <v>33</v>
      </c>
      <c r="B87" t="s">
        <v>325</v>
      </c>
      <c r="C87" t="s">
        <v>62</v>
      </c>
      <c r="D87">
        <v>323</v>
      </c>
    </row>
    <row r="88" spans="1:4" x14ac:dyDescent="0.25">
      <c r="A88" s="11" t="s">
        <v>33</v>
      </c>
      <c r="B88" t="s">
        <v>326</v>
      </c>
      <c r="C88" t="s">
        <v>68</v>
      </c>
      <c r="D88">
        <v>53074</v>
      </c>
    </row>
    <row r="89" spans="1:4" x14ac:dyDescent="0.25">
      <c r="A89" s="12" t="s">
        <v>32</v>
      </c>
      <c r="B89" t="s">
        <v>327</v>
      </c>
      <c r="C89" t="s">
        <v>100</v>
      </c>
      <c r="D89">
        <v>31746</v>
      </c>
    </row>
    <row r="90" spans="1:4" x14ac:dyDescent="0.25">
      <c r="A90" s="11" t="s">
        <v>33</v>
      </c>
      <c r="B90" t="s">
        <v>328</v>
      </c>
      <c r="C90" t="s">
        <v>64</v>
      </c>
      <c r="D90">
        <v>19909</v>
      </c>
    </row>
    <row r="91" spans="1:4" x14ac:dyDescent="0.25">
      <c r="A91" s="12" t="s">
        <v>32</v>
      </c>
      <c r="B91" t="s">
        <v>329</v>
      </c>
      <c r="C91" t="s">
        <v>87</v>
      </c>
      <c r="D91">
        <v>32472</v>
      </c>
    </row>
    <row r="92" spans="1:4" x14ac:dyDescent="0.25">
      <c r="A92" s="11" t="s">
        <v>32</v>
      </c>
      <c r="B92" t="s">
        <v>330</v>
      </c>
      <c r="C92" t="s">
        <v>61</v>
      </c>
      <c r="D92">
        <v>98359</v>
      </c>
    </row>
    <row r="93" spans="1:4" x14ac:dyDescent="0.25">
      <c r="A93" s="12" t="s">
        <v>33</v>
      </c>
      <c r="B93" t="s">
        <v>72</v>
      </c>
      <c r="C93" t="s">
        <v>65</v>
      </c>
      <c r="D93">
        <v>94304</v>
      </c>
    </row>
    <row r="94" spans="1:4" x14ac:dyDescent="0.25">
      <c r="A94" s="11" t="s">
        <v>33</v>
      </c>
      <c r="B94" t="s">
        <v>331</v>
      </c>
      <c r="C94" t="s">
        <v>88</v>
      </c>
      <c r="D94">
        <v>178237</v>
      </c>
    </row>
    <row r="95" spans="1:4" x14ac:dyDescent="0.25">
      <c r="A95" s="12" t="s">
        <v>32</v>
      </c>
      <c r="B95" t="s">
        <v>332</v>
      </c>
      <c r="C95" t="s">
        <v>83</v>
      </c>
      <c r="D95">
        <v>153499</v>
      </c>
    </row>
    <row r="96" spans="1:4" x14ac:dyDescent="0.25">
      <c r="A96" s="11" t="s">
        <v>33</v>
      </c>
      <c r="B96" t="s">
        <v>333</v>
      </c>
      <c r="C96" t="s">
        <v>70</v>
      </c>
      <c r="D96">
        <v>91597</v>
      </c>
    </row>
    <row r="97" spans="1:4" x14ac:dyDescent="0.25">
      <c r="A97" s="12" t="s">
        <v>32</v>
      </c>
      <c r="B97" t="s">
        <v>334</v>
      </c>
      <c r="C97" t="s">
        <v>90</v>
      </c>
      <c r="D97">
        <v>175665</v>
      </c>
    </row>
    <row r="98" spans="1:4" x14ac:dyDescent="0.25">
      <c r="A98" s="11" t="s">
        <v>32</v>
      </c>
      <c r="B98" t="s">
        <v>335</v>
      </c>
      <c r="C98" t="s">
        <v>89</v>
      </c>
      <c r="D98">
        <v>177763</v>
      </c>
    </row>
    <row r="99" spans="1:4" x14ac:dyDescent="0.25">
      <c r="A99" s="12" t="s">
        <v>33</v>
      </c>
      <c r="B99" t="s">
        <v>336</v>
      </c>
      <c r="C99" t="s">
        <v>91</v>
      </c>
      <c r="D99">
        <v>26954</v>
      </c>
    </row>
    <row r="100" spans="1:4" x14ac:dyDescent="0.25">
      <c r="A100" s="11" t="s">
        <v>33</v>
      </c>
      <c r="B100" t="s">
        <v>337</v>
      </c>
      <c r="C100" t="s">
        <v>72</v>
      </c>
      <c r="D100">
        <v>20357</v>
      </c>
    </row>
    <row r="101" spans="1:4" ht="15.75" thickBot="1" x14ac:dyDescent="0.3">
      <c r="A101" s="13" t="s">
        <v>32</v>
      </c>
      <c r="B101" t="s">
        <v>338</v>
      </c>
      <c r="C101" t="s">
        <v>73</v>
      </c>
      <c r="D101">
        <v>164054</v>
      </c>
    </row>
  </sheetData>
  <sortState xmlns:xlrd2="http://schemas.microsoft.com/office/spreadsheetml/2017/richdata2" ref="F1:F113">
    <sortCondition ref="F4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2CF45-05B2-4B7A-AF35-D9679A71A1C4}">
  <sheetPr codeName="Feuil3"/>
  <dimension ref="A1:K111"/>
  <sheetViews>
    <sheetView workbookViewId="0">
      <selection activeCell="I113" sqref="I113"/>
    </sheetView>
  </sheetViews>
  <sheetFormatPr baseColWidth="10" defaultRowHeight="15" x14ac:dyDescent="0.25"/>
  <cols>
    <col min="4" max="4" width="18.140625" customWidth="1"/>
    <col min="6" max="6" width="15.85546875" customWidth="1"/>
  </cols>
  <sheetData>
    <row r="1" spans="1:11" x14ac:dyDescent="0.25">
      <c r="A1" t="s">
        <v>341</v>
      </c>
      <c r="B1" t="s">
        <v>339</v>
      </c>
      <c r="C1" t="s">
        <v>340</v>
      </c>
      <c r="D1" t="s">
        <v>342</v>
      </c>
      <c r="F1" t="s">
        <v>342</v>
      </c>
    </row>
    <row r="2" spans="1:11" x14ac:dyDescent="0.25">
      <c r="A2" t="s">
        <v>32</v>
      </c>
      <c r="B2" t="s">
        <v>242</v>
      </c>
      <c r="C2" t="s">
        <v>101</v>
      </c>
      <c r="D2">
        <v>85867</v>
      </c>
      <c r="F2">
        <v>85867</v>
      </c>
      <c r="J2" t="s">
        <v>344</v>
      </c>
      <c r="K2" t="s">
        <v>345</v>
      </c>
    </row>
    <row r="3" spans="1:11" x14ac:dyDescent="0.25">
      <c r="A3" t="s">
        <v>33</v>
      </c>
      <c r="B3" t="s">
        <v>243</v>
      </c>
      <c r="C3" t="s">
        <v>47</v>
      </c>
      <c r="D3">
        <v>78398</v>
      </c>
      <c r="F3">
        <v>78398</v>
      </c>
      <c r="H3">
        <f>AVERAGE(F2:F101)</f>
        <v>96204.93</v>
      </c>
      <c r="J3">
        <v>75000</v>
      </c>
      <c r="K3">
        <v>5000</v>
      </c>
    </row>
    <row r="4" spans="1:11" x14ac:dyDescent="0.25">
      <c r="A4" t="s">
        <v>33</v>
      </c>
      <c r="B4" t="s">
        <v>244</v>
      </c>
      <c r="C4" t="s">
        <v>111</v>
      </c>
      <c r="D4">
        <v>107994</v>
      </c>
      <c r="F4">
        <v>107994</v>
      </c>
    </row>
    <row r="5" spans="1:11" x14ac:dyDescent="0.25">
      <c r="A5" t="s">
        <v>32</v>
      </c>
      <c r="B5" t="s">
        <v>245</v>
      </c>
      <c r="C5" t="s">
        <v>42</v>
      </c>
      <c r="D5">
        <v>10767</v>
      </c>
      <c r="F5">
        <v>10767</v>
      </c>
    </row>
    <row r="6" spans="1:11" x14ac:dyDescent="0.25">
      <c r="A6" t="s">
        <v>33</v>
      </c>
      <c r="B6" t="s">
        <v>246</v>
      </c>
      <c r="C6" t="s">
        <v>122</v>
      </c>
      <c r="D6">
        <v>131609</v>
      </c>
      <c r="F6">
        <v>131609</v>
      </c>
    </row>
    <row r="7" spans="1:11" x14ac:dyDescent="0.25">
      <c r="A7" t="s">
        <v>32</v>
      </c>
      <c r="B7" t="s">
        <v>247</v>
      </c>
      <c r="C7" t="s">
        <v>112</v>
      </c>
      <c r="D7">
        <v>44324</v>
      </c>
      <c r="F7">
        <v>44324</v>
      </c>
    </row>
    <row r="8" spans="1:11" x14ac:dyDescent="0.25">
      <c r="A8" t="s">
        <v>32</v>
      </c>
      <c r="B8" t="s">
        <v>248</v>
      </c>
      <c r="C8" t="s">
        <v>141</v>
      </c>
      <c r="D8">
        <v>34414</v>
      </c>
      <c r="F8">
        <v>34414</v>
      </c>
    </row>
    <row r="9" spans="1:11" x14ac:dyDescent="0.25">
      <c r="A9" t="s">
        <v>33</v>
      </c>
      <c r="B9" t="s">
        <v>249</v>
      </c>
      <c r="C9" t="s">
        <v>132</v>
      </c>
      <c r="D9">
        <v>163687</v>
      </c>
      <c r="F9">
        <v>163687</v>
      </c>
    </row>
    <row r="10" spans="1:11" x14ac:dyDescent="0.25">
      <c r="A10" t="s">
        <v>33</v>
      </c>
      <c r="B10" t="s">
        <v>250</v>
      </c>
      <c r="C10" t="s">
        <v>48</v>
      </c>
      <c r="D10">
        <v>197994</v>
      </c>
      <c r="F10">
        <v>197994</v>
      </c>
    </row>
    <row r="11" spans="1:11" x14ac:dyDescent="0.25">
      <c r="A11" t="s">
        <v>32</v>
      </c>
      <c r="B11" t="s">
        <v>251</v>
      </c>
      <c r="C11" t="s">
        <v>113</v>
      </c>
      <c r="D11">
        <v>124228</v>
      </c>
      <c r="F11">
        <v>124228</v>
      </c>
    </row>
    <row r="12" spans="1:11" x14ac:dyDescent="0.25">
      <c r="A12" t="s">
        <v>33</v>
      </c>
      <c r="B12" t="s">
        <v>252</v>
      </c>
      <c r="C12" t="s">
        <v>45</v>
      </c>
      <c r="D12">
        <v>184941</v>
      </c>
      <c r="F12">
        <v>184941</v>
      </c>
    </row>
    <row r="13" spans="1:11" x14ac:dyDescent="0.25">
      <c r="A13" t="s">
        <v>32</v>
      </c>
      <c r="B13" t="s">
        <v>253</v>
      </c>
      <c r="C13" t="s">
        <v>133</v>
      </c>
      <c r="D13">
        <v>14566</v>
      </c>
      <c r="F13">
        <v>14566</v>
      </c>
    </row>
    <row r="14" spans="1:11" x14ac:dyDescent="0.25">
      <c r="A14" t="s">
        <v>32</v>
      </c>
      <c r="B14" t="s">
        <v>254</v>
      </c>
      <c r="C14" t="s">
        <v>102</v>
      </c>
      <c r="D14">
        <v>120095</v>
      </c>
      <c r="F14">
        <v>120095</v>
      </c>
    </row>
    <row r="15" spans="1:11" x14ac:dyDescent="0.25">
      <c r="A15" t="s">
        <v>33</v>
      </c>
      <c r="B15" t="s">
        <v>255</v>
      </c>
      <c r="C15" t="s">
        <v>103</v>
      </c>
      <c r="D15">
        <v>181833</v>
      </c>
      <c r="F15">
        <v>181833</v>
      </c>
    </row>
    <row r="16" spans="1:11" x14ac:dyDescent="0.25">
      <c r="A16" t="s">
        <v>33</v>
      </c>
      <c r="B16" t="s">
        <v>256</v>
      </c>
      <c r="C16" t="s">
        <v>114</v>
      </c>
      <c r="D16">
        <v>53206</v>
      </c>
      <c r="F16">
        <v>53206</v>
      </c>
    </row>
    <row r="17" spans="1:6" x14ac:dyDescent="0.25">
      <c r="A17" t="s">
        <v>32</v>
      </c>
      <c r="B17" t="s">
        <v>257</v>
      </c>
      <c r="C17" t="s">
        <v>49</v>
      </c>
      <c r="D17">
        <v>198291</v>
      </c>
      <c r="F17">
        <v>198291</v>
      </c>
    </row>
    <row r="18" spans="1:6" x14ac:dyDescent="0.25">
      <c r="A18" t="s">
        <v>33</v>
      </c>
      <c r="B18" t="s">
        <v>258</v>
      </c>
      <c r="C18" t="s">
        <v>35</v>
      </c>
      <c r="D18">
        <v>177418</v>
      </c>
      <c r="F18">
        <v>177418</v>
      </c>
    </row>
    <row r="19" spans="1:6" x14ac:dyDescent="0.25">
      <c r="A19" t="s">
        <v>32</v>
      </c>
      <c r="B19" t="s">
        <v>259</v>
      </c>
      <c r="C19" t="s">
        <v>104</v>
      </c>
      <c r="D19">
        <v>83305</v>
      </c>
      <c r="F19">
        <v>83305</v>
      </c>
    </row>
    <row r="20" spans="1:6" x14ac:dyDescent="0.25">
      <c r="A20" t="s">
        <v>32</v>
      </c>
      <c r="B20" t="s">
        <v>260</v>
      </c>
      <c r="C20" t="s">
        <v>107</v>
      </c>
      <c r="D20">
        <v>164628</v>
      </c>
      <c r="F20">
        <v>164628</v>
      </c>
    </row>
    <row r="21" spans="1:6" x14ac:dyDescent="0.25">
      <c r="A21" t="s">
        <v>33</v>
      </c>
      <c r="B21" t="s">
        <v>261</v>
      </c>
      <c r="C21" t="s">
        <v>115</v>
      </c>
      <c r="D21">
        <v>96051</v>
      </c>
      <c r="F21">
        <v>96051</v>
      </c>
    </row>
    <row r="22" spans="1:6" x14ac:dyDescent="0.25">
      <c r="A22" t="s">
        <v>33</v>
      </c>
      <c r="B22" t="s">
        <v>262</v>
      </c>
      <c r="C22" t="s">
        <v>134</v>
      </c>
      <c r="D22">
        <v>97289</v>
      </c>
      <c r="F22">
        <v>97289</v>
      </c>
    </row>
    <row r="23" spans="1:6" x14ac:dyDescent="0.25">
      <c r="A23" t="s">
        <v>32</v>
      </c>
      <c r="B23" t="s">
        <v>263</v>
      </c>
      <c r="C23" t="s">
        <v>108</v>
      </c>
      <c r="D23">
        <v>9135</v>
      </c>
      <c r="F23">
        <v>9135</v>
      </c>
    </row>
    <row r="24" spans="1:6" x14ac:dyDescent="0.25">
      <c r="A24" t="s">
        <v>33</v>
      </c>
      <c r="B24" t="s">
        <v>264</v>
      </c>
      <c r="C24" t="s">
        <v>46</v>
      </c>
      <c r="D24">
        <v>130971</v>
      </c>
      <c r="F24">
        <v>130971</v>
      </c>
    </row>
    <row r="25" spans="1:6" x14ac:dyDescent="0.25">
      <c r="A25" t="s">
        <v>32</v>
      </c>
      <c r="B25" t="s">
        <v>265</v>
      </c>
      <c r="C25" t="s">
        <v>105</v>
      </c>
      <c r="D25">
        <v>134374</v>
      </c>
      <c r="F25">
        <v>134374</v>
      </c>
    </row>
    <row r="26" spans="1:6" x14ac:dyDescent="0.25">
      <c r="A26" t="s">
        <v>32</v>
      </c>
      <c r="B26" t="s">
        <v>266</v>
      </c>
      <c r="C26" t="s">
        <v>135</v>
      </c>
      <c r="D26" t="s">
        <v>343</v>
      </c>
      <c r="F26">
        <v>65469</v>
      </c>
    </row>
    <row r="27" spans="1:6" x14ac:dyDescent="0.25">
      <c r="A27" t="s">
        <v>33</v>
      </c>
      <c r="B27" t="s">
        <v>267</v>
      </c>
      <c r="C27" t="s">
        <v>37</v>
      </c>
      <c r="D27">
        <v>126114</v>
      </c>
      <c r="F27">
        <v>126114</v>
      </c>
    </row>
    <row r="28" spans="1:6" x14ac:dyDescent="0.25">
      <c r="A28" t="s">
        <v>33</v>
      </c>
      <c r="B28" t="s">
        <v>268</v>
      </c>
      <c r="C28" t="s">
        <v>106</v>
      </c>
      <c r="D28">
        <v>214</v>
      </c>
      <c r="F28">
        <v>214</v>
      </c>
    </row>
    <row r="29" spans="1:6" x14ac:dyDescent="0.25">
      <c r="A29" t="s">
        <v>32</v>
      </c>
      <c r="B29" t="s">
        <v>269</v>
      </c>
      <c r="C29" t="s">
        <v>136</v>
      </c>
      <c r="D29">
        <v>117754</v>
      </c>
      <c r="F29">
        <v>117754</v>
      </c>
    </row>
    <row r="30" spans="1:6" x14ac:dyDescent="0.25">
      <c r="A30" t="s">
        <v>33</v>
      </c>
      <c r="B30" t="s">
        <v>270</v>
      </c>
      <c r="C30" t="s">
        <v>36</v>
      </c>
      <c r="D30">
        <v>51139</v>
      </c>
      <c r="F30">
        <v>51139</v>
      </c>
    </row>
    <row r="31" spans="1:6" x14ac:dyDescent="0.25">
      <c r="A31" t="s">
        <v>32</v>
      </c>
      <c r="B31" t="s">
        <v>271</v>
      </c>
      <c r="C31" t="s">
        <v>116</v>
      </c>
      <c r="D31">
        <v>66398</v>
      </c>
      <c r="F31">
        <v>66398</v>
      </c>
    </row>
    <row r="32" spans="1:6" x14ac:dyDescent="0.25">
      <c r="A32" t="s">
        <v>32</v>
      </c>
      <c r="B32" t="s">
        <v>272</v>
      </c>
      <c r="C32" t="s">
        <v>109</v>
      </c>
      <c r="D32">
        <v>89050</v>
      </c>
      <c r="F32">
        <v>89050</v>
      </c>
    </row>
    <row r="33" spans="1:6" x14ac:dyDescent="0.25">
      <c r="A33" t="s">
        <v>33</v>
      </c>
      <c r="B33" t="s">
        <v>273</v>
      </c>
      <c r="C33" t="s">
        <v>50</v>
      </c>
      <c r="D33">
        <v>185686</v>
      </c>
      <c r="F33">
        <v>185686</v>
      </c>
    </row>
    <row r="34" spans="1:6" x14ac:dyDescent="0.25">
      <c r="A34" t="s">
        <v>33</v>
      </c>
      <c r="B34" t="s">
        <v>274</v>
      </c>
      <c r="C34" t="s">
        <v>110</v>
      </c>
      <c r="D34">
        <v>17112</v>
      </c>
      <c r="F34">
        <v>17112</v>
      </c>
    </row>
    <row r="35" spans="1:6" x14ac:dyDescent="0.25">
      <c r="A35" t="s">
        <v>32</v>
      </c>
      <c r="B35" t="s">
        <v>275</v>
      </c>
      <c r="C35" t="s">
        <v>117</v>
      </c>
      <c r="D35">
        <v>133092</v>
      </c>
      <c r="F35">
        <v>133092</v>
      </c>
    </row>
    <row r="36" spans="1:6" x14ac:dyDescent="0.25">
      <c r="A36" t="s">
        <v>33</v>
      </c>
      <c r="B36" t="s">
        <v>276</v>
      </c>
      <c r="C36" t="s">
        <v>34</v>
      </c>
      <c r="D36">
        <v>52363</v>
      </c>
      <c r="F36">
        <v>52363</v>
      </c>
    </row>
    <row r="37" spans="1:6" x14ac:dyDescent="0.25">
      <c r="A37" t="s">
        <v>32</v>
      </c>
      <c r="B37" t="s">
        <v>277</v>
      </c>
      <c r="C37" t="s">
        <v>137</v>
      </c>
      <c r="D37">
        <v>94262</v>
      </c>
      <c r="F37">
        <v>94262</v>
      </c>
    </row>
    <row r="38" spans="1:6" x14ac:dyDescent="0.25">
      <c r="A38" t="s">
        <v>32</v>
      </c>
      <c r="B38" t="s">
        <v>278</v>
      </c>
      <c r="C38" t="s">
        <v>43</v>
      </c>
      <c r="D38">
        <v>62594</v>
      </c>
      <c r="F38">
        <v>62594</v>
      </c>
    </row>
    <row r="39" spans="1:6" x14ac:dyDescent="0.25">
      <c r="A39" t="s">
        <v>33</v>
      </c>
      <c r="B39" t="s">
        <v>279</v>
      </c>
      <c r="C39" t="s">
        <v>123</v>
      </c>
      <c r="D39">
        <v>144069</v>
      </c>
      <c r="F39">
        <v>144069</v>
      </c>
    </row>
    <row r="40" spans="1:6" x14ac:dyDescent="0.25">
      <c r="A40" t="s">
        <v>33</v>
      </c>
      <c r="B40" t="s">
        <v>280</v>
      </c>
      <c r="C40" t="s">
        <v>138</v>
      </c>
      <c r="D40">
        <v>186493</v>
      </c>
      <c r="F40">
        <v>186493</v>
      </c>
    </row>
    <row r="41" spans="1:6" x14ac:dyDescent="0.25">
      <c r="A41" t="s">
        <v>32</v>
      </c>
      <c r="B41" t="s">
        <v>281</v>
      </c>
      <c r="C41" t="s">
        <v>41</v>
      </c>
      <c r="D41">
        <v>40741</v>
      </c>
      <c r="F41">
        <v>40741</v>
      </c>
    </row>
    <row r="42" spans="1:6" x14ac:dyDescent="0.25">
      <c r="A42" t="s">
        <v>33</v>
      </c>
      <c r="B42" t="s">
        <v>282</v>
      </c>
      <c r="C42" t="s">
        <v>118</v>
      </c>
      <c r="D42">
        <v>17608</v>
      </c>
      <c r="F42">
        <v>17608</v>
      </c>
    </row>
    <row r="43" spans="1:6" x14ac:dyDescent="0.25">
      <c r="A43" t="s">
        <v>32</v>
      </c>
      <c r="B43" t="s">
        <v>283</v>
      </c>
      <c r="C43" t="s">
        <v>119</v>
      </c>
      <c r="D43">
        <v>113499</v>
      </c>
      <c r="F43">
        <v>113499</v>
      </c>
    </row>
    <row r="44" spans="1:6" x14ac:dyDescent="0.25">
      <c r="A44" t="s">
        <v>32</v>
      </c>
      <c r="B44" t="s">
        <v>284</v>
      </c>
      <c r="C44" t="s">
        <v>39</v>
      </c>
      <c r="D44">
        <v>67865</v>
      </c>
      <c r="F44">
        <v>67865</v>
      </c>
    </row>
    <row r="45" spans="1:6" x14ac:dyDescent="0.25">
      <c r="A45" t="s">
        <v>33</v>
      </c>
      <c r="B45" t="s">
        <v>285</v>
      </c>
      <c r="C45" t="s">
        <v>51</v>
      </c>
      <c r="D45">
        <v>163404</v>
      </c>
      <c r="F45">
        <v>163404</v>
      </c>
    </row>
    <row r="46" spans="1:6" x14ac:dyDescent="0.25">
      <c r="A46" t="s">
        <v>33</v>
      </c>
      <c r="B46" t="s">
        <v>83</v>
      </c>
      <c r="C46" t="s">
        <v>124</v>
      </c>
      <c r="D46">
        <v>106109</v>
      </c>
      <c r="F46">
        <v>106109</v>
      </c>
    </row>
    <row r="47" spans="1:6" x14ac:dyDescent="0.25">
      <c r="A47" t="s">
        <v>32</v>
      </c>
      <c r="B47" t="s">
        <v>286</v>
      </c>
      <c r="C47" t="s">
        <v>120</v>
      </c>
      <c r="D47">
        <v>148653</v>
      </c>
      <c r="F47">
        <v>148653</v>
      </c>
    </row>
    <row r="48" spans="1:6" x14ac:dyDescent="0.25">
      <c r="A48" t="s">
        <v>33</v>
      </c>
      <c r="B48" t="s">
        <v>287</v>
      </c>
      <c r="C48" t="s">
        <v>126</v>
      </c>
      <c r="D48">
        <v>135899</v>
      </c>
      <c r="F48">
        <v>135899</v>
      </c>
    </row>
    <row r="49" spans="1:6" x14ac:dyDescent="0.25">
      <c r="A49" t="s">
        <v>32</v>
      </c>
      <c r="B49" t="s">
        <v>288</v>
      </c>
      <c r="C49" t="s">
        <v>127</v>
      </c>
      <c r="D49">
        <v>117659</v>
      </c>
      <c r="F49">
        <v>117659</v>
      </c>
    </row>
    <row r="50" spans="1:6" x14ac:dyDescent="0.25">
      <c r="A50" t="s">
        <v>32</v>
      </c>
      <c r="B50" t="s">
        <v>289</v>
      </c>
      <c r="C50" t="s">
        <v>128</v>
      </c>
      <c r="D50">
        <v>123196</v>
      </c>
      <c r="F50">
        <v>123196</v>
      </c>
    </row>
    <row r="51" spans="1:6" x14ac:dyDescent="0.25">
      <c r="A51" t="s">
        <v>33</v>
      </c>
      <c r="B51" t="s">
        <v>290</v>
      </c>
      <c r="C51" t="s">
        <v>125</v>
      </c>
      <c r="D51">
        <v>53870</v>
      </c>
      <c r="F51">
        <v>53870</v>
      </c>
    </row>
    <row r="52" spans="1:6" x14ac:dyDescent="0.25">
      <c r="A52" t="s">
        <v>33</v>
      </c>
      <c r="B52" t="s">
        <v>291</v>
      </c>
      <c r="C52" t="s">
        <v>129</v>
      </c>
      <c r="D52">
        <v>128810</v>
      </c>
      <c r="F52">
        <v>128810</v>
      </c>
    </row>
    <row r="53" spans="1:6" x14ac:dyDescent="0.25">
      <c r="A53" t="s">
        <v>32</v>
      </c>
      <c r="B53" t="s">
        <v>292</v>
      </c>
      <c r="C53" t="s">
        <v>139</v>
      </c>
      <c r="D53">
        <v>60839</v>
      </c>
      <c r="F53">
        <v>60839</v>
      </c>
    </row>
    <row r="54" spans="1:6" x14ac:dyDescent="0.25">
      <c r="A54" t="s">
        <v>33</v>
      </c>
      <c r="B54" t="s">
        <v>293</v>
      </c>
      <c r="C54" t="s">
        <v>130</v>
      </c>
      <c r="D54">
        <v>9075</v>
      </c>
      <c r="F54">
        <v>9075</v>
      </c>
    </row>
    <row r="55" spans="1:6" x14ac:dyDescent="0.25">
      <c r="A55" t="s">
        <v>32</v>
      </c>
      <c r="B55" t="s">
        <v>294</v>
      </c>
      <c r="C55" t="s">
        <v>121</v>
      </c>
      <c r="D55">
        <v>147800</v>
      </c>
      <c r="F55">
        <v>147800</v>
      </c>
    </row>
    <row r="56" spans="1:6" x14ac:dyDescent="0.25">
      <c r="A56" t="s">
        <v>32</v>
      </c>
      <c r="B56" t="s">
        <v>295</v>
      </c>
      <c r="C56" t="s">
        <v>140</v>
      </c>
      <c r="D56">
        <v>12333</v>
      </c>
      <c r="F56">
        <v>12333</v>
      </c>
    </row>
    <row r="57" spans="1:6" x14ac:dyDescent="0.25">
      <c r="A57" t="s">
        <v>33</v>
      </c>
      <c r="B57" t="s">
        <v>296</v>
      </c>
      <c r="C57" t="s">
        <v>40</v>
      </c>
      <c r="D57">
        <v>39269</v>
      </c>
      <c r="F57">
        <v>39269</v>
      </c>
    </row>
    <row r="58" spans="1:6" x14ac:dyDescent="0.25">
      <c r="A58" t="s">
        <v>33</v>
      </c>
      <c r="B58" t="s">
        <v>297</v>
      </c>
      <c r="C58" t="s">
        <v>52</v>
      </c>
      <c r="D58">
        <v>113626</v>
      </c>
      <c r="F58">
        <v>113626</v>
      </c>
    </row>
    <row r="59" spans="1:6" x14ac:dyDescent="0.25">
      <c r="A59" t="s">
        <v>32</v>
      </c>
      <c r="B59" t="s">
        <v>298</v>
      </c>
      <c r="C59" t="s">
        <v>95</v>
      </c>
      <c r="D59">
        <v>33952</v>
      </c>
      <c r="F59">
        <v>33952</v>
      </c>
    </row>
    <row r="60" spans="1:6" x14ac:dyDescent="0.25">
      <c r="A60" t="s">
        <v>33</v>
      </c>
      <c r="B60" t="s">
        <v>299</v>
      </c>
      <c r="C60" t="s">
        <v>44</v>
      </c>
      <c r="D60">
        <v>15690</v>
      </c>
      <c r="F60">
        <v>15690</v>
      </c>
    </row>
    <row r="61" spans="1:6" x14ac:dyDescent="0.25">
      <c r="A61" t="s">
        <v>32</v>
      </c>
      <c r="B61" t="s">
        <v>300</v>
      </c>
      <c r="C61" t="s">
        <v>38</v>
      </c>
      <c r="D61">
        <v>66190</v>
      </c>
      <c r="F61">
        <v>66190</v>
      </c>
    </row>
    <row r="62" spans="1:6" x14ac:dyDescent="0.25">
      <c r="A62" t="s">
        <v>32</v>
      </c>
      <c r="B62" t="s">
        <v>301</v>
      </c>
      <c r="C62" t="s">
        <v>131</v>
      </c>
      <c r="D62">
        <v>25691</v>
      </c>
      <c r="F62">
        <v>25691</v>
      </c>
    </row>
    <row r="63" spans="1:6" x14ac:dyDescent="0.25">
      <c r="A63" t="s">
        <v>33</v>
      </c>
      <c r="B63" t="s">
        <v>302</v>
      </c>
      <c r="C63" t="s">
        <v>69</v>
      </c>
      <c r="D63">
        <v>118100</v>
      </c>
      <c r="F63">
        <v>118100</v>
      </c>
    </row>
    <row r="64" spans="1:6" x14ac:dyDescent="0.25">
      <c r="A64" t="s">
        <v>33</v>
      </c>
      <c r="B64" t="s">
        <v>303</v>
      </c>
      <c r="C64" t="s">
        <v>75</v>
      </c>
      <c r="D64">
        <v>185840</v>
      </c>
      <c r="F64">
        <v>185840</v>
      </c>
    </row>
    <row r="65" spans="1:6" x14ac:dyDescent="0.25">
      <c r="A65" t="s">
        <v>32</v>
      </c>
      <c r="B65" t="s">
        <v>304</v>
      </c>
      <c r="C65" t="s">
        <v>76</v>
      </c>
      <c r="D65">
        <v>10447</v>
      </c>
      <c r="F65">
        <v>10447</v>
      </c>
    </row>
    <row r="66" spans="1:6" x14ac:dyDescent="0.25">
      <c r="A66" t="s">
        <v>33</v>
      </c>
      <c r="B66" t="s">
        <v>305</v>
      </c>
      <c r="C66" t="s">
        <v>74</v>
      </c>
      <c r="D66">
        <v>165959</v>
      </c>
      <c r="F66">
        <v>165959</v>
      </c>
    </row>
    <row r="67" spans="1:6" x14ac:dyDescent="0.25">
      <c r="A67" t="s">
        <v>32</v>
      </c>
      <c r="B67" t="s">
        <v>60</v>
      </c>
      <c r="C67" t="s">
        <v>56</v>
      </c>
      <c r="D67">
        <v>140944</v>
      </c>
      <c r="F67">
        <v>140944</v>
      </c>
    </row>
    <row r="68" spans="1:6" x14ac:dyDescent="0.25">
      <c r="A68" t="s">
        <v>32</v>
      </c>
      <c r="B68" t="s">
        <v>306</v>
      </c>
      <c r="C68" t="s">
        <v>82</v>
      </c>
      <c r="D68">
        <v>190088</v>
      </c>
      <c r="F68">
        <v>190088</v>
      </c>
    </row>
    <row r="69" spans="1:6" x14ac:dyDescent="0.25">
      <c r="A69" t="s">
        <v>33</v>
      </c>
      <c r="B69" t="s">
        <v>307</v>
      </c>
      <c r="C69" t="s">
        <v>57</v>
      </c>
      <c r="D69">
        <v>100057</v>
      </c>
      <c r="F69">
        <v>100057</v>
      </c>
    </row>
    <row r="70" spans="1:6" x14ac:dyDescent="0.25">
      <c r="A70" t="s">
        <v>33</v>
      </c>
      <c r="B70" t="s">
        <v>308</v>
      </c>
      <c r="C70" t="s">
        <v>58</v>
      </c>
      <c r="D70">
        <v>51100</v>
      </c>
      <c r="F70">
        <v>51100</v>
      </c>
    </row>
    <row r="71" spans="1:6" x14ac:dyDescent="0.25">
      <c r="A71" t="s">
        <v>32</v>
      </c>
      <c r="B71" t="s">
        <v>309</v>
      </c>
      <c r="C71" t="s">
        <v>53</v>
      </c>
      <c r="D71">
        <v>1744</v>
      </c>
      <c r="F71">
        <v>1744</v>
      </c>
    </row>
    <row r="72" spans="1:6" x14ac:dyDescent="0.25">
      <c r="A72" t="s">
        <v>33</v>
      </c>
      <c r="B72" t="s">
        <v>310</v>
      </c>
      <c r="C72" t="s">
        <v>96</v>
      </c>
      <c r="D72">
        <v>83056</v>
      </c>
      <c r="F72">
        <v>83056</v>
      </c>
    </row>
    <row r="73" spans="1:6" x14ac:dyDescent="0.25">
      <c r="A73" t="s">
        <v>32</v>
      </c>
      <c r="B73" t="s">
        <v>311</v>
      </c>
      <c r="C73" t="s">
        <v>78</v>
      </c>
      <c r="D73">
        <v>79721</v>
      </c>
      <c r="F73">
        <v>79721</v>
      </c>
    </row>
    <row r="74" spans="1:6" x14ac:dyDescent="0.25">
      <c r="A74" t="s">
        <v>32</v>
      </c>
      <c r="B74" t="s">
        <v>312</v>
      </c>
      <c r="C74" t="s">
        <v>55</v>
      </c>
      <c r="D74">
        <v>90748</v>
      </c>
      <c r="F74">
        <v>90748</v>
      </c>
    </row>
    <row r="75" spans="1:6" x14ac:dyDescent="0.25">
      <c r="A75" t="s">
        <v>33</v>
      </c>
      <c r="B75" t="s">
        <v>313</v>
      </c>
      <c r="C75" t="s">
        <v>54</v>
      </c>
      <c r="D75">
        <v>29732</v>
      </c>
      <c r="F75">
        <v>29732</v>
      </c>
    </row>
    <row r="76" spans="1:6" x14ac:dyDescent="0.25">
      <c r="A76" t="s">
        <v>33</v>
      </c>
      <c r="B76" t="s">
        <v>314</v>
      </c>
      <c r="C76" t="s">
        <v>59</v>
      </c>
      <c r="D76">
        <v>17476</v>
      </c>
      <c r="F76">
        <v>17476</v>
      </c>
    </row>
    <row r="77" spans="1:6" x14ac:dyDescent="0.25">
      <c r="A77" t="s">
        <v>32</v>
      </c>
      <c r="B77" t="s">
        <v>315</v>
      </c>
      <c r="C77" t="s">
        <v>97</v>
      </c>
      <c r="D77">
        <v>193660</v>
      </c>
      <c r="F77">
        <v>193660</v>
      </c>
    </row>
    <row r="78" spans="1:6" x14ac:dyDescent="0.25">
      <c r="A78" t="s">
        <v>33</v>
      </c>
      <c r="B78" t="s">
        <v>316</v>
      </c>
      <c r="C78" t="s">
        <v>98</v>
      </c>
      <c r="D78">
        <v>54996</v>
      </c>
      <c r="F78">
        <v>54996</v>
      </c>
    </row>
    <row r="79" spans="1:6" x14ac:dyDescent="0.25">
      <c r="A79" t="s">
        <v>32</v>
      </c>
      <c r="B79" t="s">
        <v>317</v>
      </c>
      <c r="C79" t="s">
        <v>84</v>
      </c>
      <c r="D79">
        <v>44993</v>
      </c>
      <c r="F79">
        <v>44993</v>
      </c>
    </row>
    <row r="80" spans="1:6" x14ac:dyDescent="0.25">
      <c r="A80" t="s">
        <v>32</v>
      </c>
      <c r="B80" t="s">
        <v>318</v>
      </c>
      <c r="C80" t="s">
        <v>85</v>
      </c>
      <c r="D80">
        <v>167484</v>
      </c>
      <c r="F80">
        <v>167484</v>
      </c>
    </row>
    <row r="81" spans="1:6" x14ac:dyDescent="0.25">
      <c r="A81" t="s">
        <v>33</v>
      </c>
      <c r="B81" t="s">
        <v>319</v>
      </c>
      <c r="C81" t="s">
        <v>86</v>
      </c>
      <c r="D81">
        <v>198411</v>
      </c>
      <c r="F81">
        <v>198411</v>
      </c>
    </row>
    <row r="82" spans="1:6" x14ac:dyDescent="0.25">
      <c r="A82" t="s">
        <v>33</v>
      </c>
      <c r="B82" t="s">
        <v>320</v>
      </c>
      <c r="C82" t="s">
        <v>66</v>
      </c>
      <c r="D82">
        <v>20030</v>
      </c>
      <c r="F82">
        <v>20030</v>
      </c>
    </row>
    <row r="83" spans="1:6" x14ac:dyDescent="0.25">
      <c r="A83" t="s">
        <v>32</v>
      </c>
      <c r="B83" t="s">
        <v>321</v>
      </c>
      <c r="C83" t="s">
        <v>60</v>
      </c>
      <c r="D83">
        <v>78606</v>
      </c>
      <c r="F83">
        <v>78606</v>
      </c>
    </row>
    <row r="84" spans="1:6" x14ac:dyDescent="0.25">
      <c r="A84" t="s">
        <v>33</v>
      </c>
      <c r="B84" t="s">
        <v>322</v>
      </c>
      <c r="C84" t="s">
        <v>67</v>
      </c>
      <c r="D84">
        <v>193701</v>
      </c>
      <c r="F84">
        <v>193701</v>
      </c>
    </row>
    <row r="85" spans="1:6" x14ac:dyDescent="0.25">
      <c r="A85" t="s">
        <v>32</v>
      </c>
      <c r="B85" t="s">
        <v>323</v>
      </c>
      <c r="C85" t="s">
        <v>63</v>
      </c>
      <c r="D85">
        <v>148569</v>
      </c>
      <c r="F85">
        <v>148569</v>
      </c>
    </row>
    <row r="86" spans="1:6" x14ac:dyDescent="0.25">
      <c r="A86" t="s">
        <v>32</v>
      </c>
      <c r="B86" t="s">
        <v>324</v>
      </c>
      <c r="C86" t="s">
        <v>99</v>
      </c>
      <c r="D86">
        <v>177746</v>
      </c>
      <c r="F86">
        <v>177746</v>
      </c>
    </row>
    <row r="87" spans="1:6" x14ac:dyDescent="0.25">
      <c r="A87" t="s">
        <v>33</v>
      </c>
      <c r="B87" t="s">
        <v>325</v>
      </c>
      <c r="C87" t="s">
        <v>62</v>
      </c>
      <c r="D87">
        <v>323</v>
      </c>
      <c r="F87">
        <v>323</v>
      </c>
    </row>
    <row r="88" spans="1:6" x14ac:dyDescent="0.25">
      <c r="A88" t="s">
        <v>33</v>
      </c>
      <c r="B88" t="s">
        <v>326</v>
      </c>
      <c r="C88" t="s">
        <v>68</v>
      </c>
      <c r="D88">
        <v>53074</v>
      </c>
      <c r="F88">
        <v>53074</v>
      </c>
    </row>
    <row r="89" spans="1:6" x14ac:dyDescent="0.25">
      <c r="A89" t="s">
        <v>32</v>
      </c>
      <c r="B89" t="s">
        <v>327</v>
      </c>
      <c r="C89" t="s">
        <v>100</v>
      </c>
      <c r="D89">
        <v>31746</v>
      </c>
      <c r="F89">
        <v>31746</v>
      </c>
    </row>
    <row r="90" spans="1:6" x14ac:dyDescent="0.25">
      <c r="A90" t="s">
        <v>33</v>
      </c>
      <c r="B90" t="s">
        <v>328</v>
      </c>
      <c r="C90" t="s">
        <v>64</v>
      </c>
      <c r="D90">
        <v>19909</v>
      </c>
      <c r="F90">
        <v>19909</v>
      </c>
    </row>
    <row r="91" spans="1:6" x14ac:dyDescent="0.25">
      <c r="A91" t="s">
        <v>32</v>
      </c>
      <c r="B91" t="s">
        <v>329</v>
      </c>
      <c r="C91" t="s">
        <v>87</v>
      </c>
      <c r="D91">
        <v>32472</v>
      </c>
      <c r="F91">
        <v>32472</v>
      </c>
    </row>
    <row r="92" spans="1:6" x14ac:dyDescent="0.25">
      <c r="A92" t="s">
        <v>32</v>
      </c>
      <c r="B92" t="s">
        <v>330</v>
      </c>
      <c r="C92" t="s">
        <v>61</v>
      </c>
      <c r="D92">
        <v>98359</v>
      </c>
      <c r="F92">
        <v>98359</v>
      </c>
    </row>
    <row r="93" spans="1:6" x14ac:dyDescent="0.25">
      <c r="A93" t="s">
        <v>33</v>
      </c>
      <c r="B93" t="s">
        <v>72</v>
      </c>
      <c r="C93" t="s">
        <v>65</v>
      </c>
      <c r="D93">
        <v>94304</v>
      </c>
      <c r="F93">
        <v>94304</v>
      </c>
    </row>
    <row r="94" spans="1:6" x14ac:dyDescent="0.25">
      <c r="A94" t="s">
        <v>33</v>
      </c>
      <c r="B94" t="s">
        <v>331</v>
      </c>
      <c r="C94" t="s">
        <v>88</v>
      </c>
      <c r="D94">
        <v>178237</v>
      </c>
      <c r="F94">
        <v>178237</v>
      </c>
    </row>
    <row r="95" spans="1:6" x14ac:dyDescent="0.25">
      <c r="A95" t="s">
        <v>32</v>
      </c>
      <c r="B95" t="s">
        <v>332</v>
      </c>
      <c r="C95" t="s">
        <v>83</v>
      </c>
      <c r="D95">
        <v>153499</v>
      </c>
      <c r="F95">
        <v>153499</v>
      </c>
    </row>
    <row r="96" spans="1:6" x14ac:dyDescent="0.25">
      <c r="A96" t="s">
        <v>33</v>
      </c>
      <c r="B96" t="s">
        <v>333</v>
      </c>
      <c r="C96" t="s">
        <v>70</v>
      </c>
      <c r="D96">
        <v>91597</v>
      </c>
      <c r="F96">
        <v>91597</v>
      </c>
    </row>
    <row r="97" spans="1:6" x14ac:dyDescent="0.25">
      <c r="A97" t="s">
        <v>32</v>
      </c>
      <c r="B97" t="s">
        <v>334</v>
      </c>
      <c r="C97" t="s">
        <v>90</v>
      </c>
      <c r="D97">
        <v>175665</v>
      </c>
      <c r="F97">
        <v>175665</v>
      </c>
    </row>
    <row r="98" spans="1:6" x14ac:dyDescent="0.25">
      <c r="A98" t="s">
        <v>32</v>
      </c>
      <c r="B98" t="s">
        <v>335</v>
      </c>
      <c r="C98" t="s">
        <v>89</v>
      </c>
      <c r="D98">
        <v>177763</v>
      </c>
      <c r="F98">
        <v>177763</v>
      </c>
    </row>
    <row r="99" spans="1:6" x14ac:dyDescent="0.25">
      <c r="A99" t="s">
        <v>33</v>
      </c>
      <c r="B99" t="s">
        <v>336</v>
      </c>
      <c r="C99" t="s">
        <v>91</v>
      </c>
      <c r="D99">
        <v>26954</v>
      </c>
      <c r="F99">
        <v>26954</v>
      </c>
    </row>
    <row r="100" spans="1:6" x14ac:dyDescent="0.25">
      <c r="A100" t="s">
        <v>33</v>
      </c>
      <c r="B100" t="s">
        <v>337</v>
      </c>
      <c r="C100" t="s">
        <v>72</v>
      </c>
      <c r="D100">
        <v>20357</v>
      </c>
      <c r="F100">
        <v>20357</v>
      </c>
    </row>
    <row r="101" spans="1:6" x14ac:dyDescent="0.25">
      <c r="A101" t="s">
        <v>32</v>
      </c>
      <c r="B101" t="s">
        <v>338</v>
      </c>
      <c r="C101" t="s">
        <v>73</v>
      </c>
      <c r="D101">
        <v>164054</v>
      </c>
      <c r="F101">
        <v>164054</v>
      </c>
    </row>
    <row r="102" spans="1:6" x14ac:dyDescent="0.25">
      <c r="A102" t="s">
        <v>33</v>
      </c>
      <c r="B102" t="s">
        <v>338</v>
      </c>
      <c r="C102" t="s">
        <v>346</v>
      </c>
      <c r="D102">
        <v>54654</v>
      </c>
    </row>
    <row r="103" spans="1:6" x14ac:dyDescent="0.25">
      <c r="A103" t="s">
        <v>32</v>
      </c>
      <c r="B103" t="s">
        <v>347</v>
      </c>
      <c r="C103" t="s">
        <v>346</v>
      </c>
      <c r="D103">
        <v>46546</v>
      </c>
    </row>
    <row r="110" spans="1:6" x14ac:dyDescent="0.25">
      <c r="C110">
        <f>Feuil3!H8</f>
        <v>0</v>
      </c>
    </row>
    <row r="111" spans="1:6" x14ac:dyDescent="0.25">
      <c r="F111">
        <v>15</v>
      </c>
    </row>
  </sheetData>
  <conditionalFormatting sqref="D2:D103">
    <cfRule type="cellIs" dxfId="10" priority="3" operator="between">
      <formula>100001</formula>
      <formula>200000</formula>
    </cfRule>
    <cfRule type="cellIs" dxfId="9" priority="4" operator="between">
      <formula>75001</formula>
      <formula>100000</formula>
    </cfRule>
    <cfRule type="cellIs" dxfId="8" priority="5" operator="between">
      <formula>0</formula>
      <formula>75000</formula>
    </cfRule>
  </conditionalFormatting>
  <conditionalFormatting sqref="F2:F101">
    <cfRule type="cellIs" dxfId="7" priority="1" operator="greaterThan">
      <formula>AVERAGE(F1,F101)</formula>
    </cfRule>
    <cfRule type="cellIs" dxfId="6" priority="2" operator="lessThan">
      <formula>AVERAGE(F1,F101)</formula>
    </cfRule>
  </conditionalFormatting>
  <dataValidations count="3">
    <dataValidation type="list" allowBlank="1" showInputMessage="1" showErrorMessage="1" sqref="J3:K3" xr:uid="{2ED873C4-C774-433D-B6B1-CBC95275C9D0}">
      <formula1>"0,5000,75000,100000"</formula1>
    </dataValidation>
    <dataValidation type="custom" allowBlank="1" showInputMessage="1" showErrorMessage="1" sqref="M6" xr:uid="{F925F3EC-DD1D-4CC8-BE6D-B8C1040542A5}">
      <formula1>"50:100"</formula1>
    </dataValidation>
    <dataValidation type="custom" allowBlank="1" showInputMessage="1" showErrorMessage="1" sqref="F2:F101" xr:uid="{2CA15AD1-2DE8-48F2-A9F6-D7A6243949A0}">
      <formula1>"50000:100000"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9E575-90BE-42C3-928D-5C9D8F33FC80}">
  <sheetPr codeName="Feuil4"/>
  <dimension ref="B2:N102"/>
  <sheetViews>
    <sheetView workbookViewId="0">
      <selection activeCell="I29" sqref="I29"/>
    </sheetView>
  </sheetViews>
  <sheetFormatPr baseColWidth="10" defaultRowHeight="15" x14ac:dyDescent="0.25"/>
  <cols>
    <col min="4" max="4" width="13" customWidth="1"/>
  </cols>
  <sheetData>
    <row r="2" spans="2:14" x14ac:dyDescent="0.25">
      <c r="B2" t="s">
        <v>341</v>
      </c>
      <c r="C2" t="s">
        <v>339</v>
      </c>
      <c r="D2" t="s">
        <v>340</v>
      </c>
      <c r="E2" t="s">
        <v>349</v>
      </c>
      <c r="F2" t="s">
        <v>21</v>
      </c>
      <c r="L2" s="18">
        <v>44607</v>
      </c>
    </row>
    <row r="3" spans="2:14" x14ac:dyDescent="0.25">
      <c r="B3" t="s">
        <v>31</v>
      </c>
      <c r="C3" t="s">
        <v>142</v>
      </c>
      <c r="D3" t="s">
        <v>34</v>
      </c>
      <c r="E3" s="17">
        <v>169187</v>
      </c>
      <c r="F3">
        <f>K21+Feuil2!D2</f>
        <v>86740</v>
      </c>
      <c r="G3">
        <f>K16+Feuil3!F2</f>
        <v>86742</v>
      </c>
    </row>
    <row r="4" spans="2:14" x14ac:dyDescent="0.25">
      <c r="B4" t="s">
        <v>31</v>
      </c>
      <c r="C4" t="s">
        <v>143</v>
      </c>
      <c r="D4" t="s">
        <v>35</v>
      </c>
      <c r="E4" s="17">
        <v>85292</v>
      </c>
      <c r="F4">
        <f>K22+Feuil2!D3</f>
        <v>78398</v>
      </c>
      <c r="G4">
        <f>K17+Feuil3!F3</f>
        <v>78398</v>
      </c>
      <c r="L4">
        <f>L2*24</f>
        <v>1070568</v>
      </c>
      <c r="M4">
        <f>K16+Feuil3!F2</f>
        <v>86742</v>
      </c>
      <c r="N4">
        <f>COUNTIF(Tableau10[PRENOM],"???")</f>
        <v>6</v>
      </c>
    </row>
    <row r="5" spans="2:14" x14ac:dyDescent="0.25">
      <c r="B5" t="s">
        <v>348</v>
      </c>
      <c r="C5" t="s">
        <v>144</v>
      </c>
      <c r="D5" t="s">
        <v>36</v>
      </c>
      <c r="E5" s="17">
        <v>53801</v>
      </c>
      <c r="F5">
        <f>K23+Feuil2!D4</f>
        <v>107994</v>
      </c>
      <c r="G5">
        <f>K18+Feuil3!F4</f>
        <v>107994</v>
      </c>
      <c r="H5" t="s">
        <v>350</v>
      </c>
      <c r="I5" t="s">
        <v>351</v>
      </c>
      <c r="M5">
        <f>K17+Feuil3!F3</f>
        <v>78398</v>
      </c>
    </row>
    <row r="6" spans="2:14" x14ac:dyDescent="0.25">
      <c r="B6" t="s">
        <v>348</v>
      </c>
      <c r="C6" t="s">
        <v>145</v>
      </c>
      <c r="D6" t="s">
        <v>37</v>
      </c>
      <c r="E6" s="17">
        <v>72544</v>
      </c>
      <c r="F6">
        <f>K24+Feuil2!D5</f>
        <v>10767</v>
      </c>
      <c r="G6">
        <f>K19+Feuil3!F5</f>
        <v>10767</v>
      </c>
      <c r="H6" s="9">
        <v>0</v>
      </c>
      <c r="I6" s="16">
        <v>74999</v>
      </c>
      <c r="J6" s="15"/>
      <c r="M6">
        <f>K18+Feuil3!F4</f>
        <v>107994</v>
      </c>
    </row>
    <row r="7" spans="2:14" x14ac:dyDescent="0.25">
      <c r="B7" t="s">
        <v>348</v>
      </c>
      <c r="C7" t="s">
        <v>146</v>
      </c>
      <c r="D7" t="s">
        <v>38</v>
      </c>
      <c r="E7" s="17">
        <v>109783</v>
      </c>
      <c r="F7">
        <f>K25+Feuil2!D6</f>
        <v>131609</v>
      </c>
      <c r="G7">
        <f>K20+Feuil3!F6</f>
        <v>131609</v>
      </c>
      <c r="H7" s="9">
        <v>75000</v>
      </c>
      <c r="I7" s="16">
        <v>99999</v>
      </c>
      <c r="J7" s="8"/>
      <c r="M7">
        <f>K19+Feuil3!F5</f>
        <v>10767</v>
      </c>
    </row>
    <row r="8" spans="2:14" x14ac:dyDescent="0.25">
      <c r="B8" t="s">
        <v>31</v>
      </c>
      <c r="C8" t="s">
        <v>147</v>
      </c>
      <c r="D8" t="s">
        <v>39</v>
      </c>
      <c r="E8" s="17">
        <v>126065</v>
      </c>
      <c r="F8">
        <f>K26+Feuil2!D7</f>
        <v>44324</v>
      </c>
      <c r="G8">
        <f>K21+Feuil3!F7</f>
        <v>45197</v>
      </c>
      <c r="H8" s="9">
        <v>100000</v>
      </c>
      <c r="I8" s="16">
        <v>200000</v>
      </c>
      <c r="J8" s="14"/>
      <c r="M8">
        <f>K20+Feuil3!F6</f>
        <v>131609</v>
      </c>
    </row>
    <row r="9" spans="2:14" x14ac:dyDescent="0.25">
      <c r="B9" t="s">
        <v>31</v>
      </c>
      <c r="C9" t="s">
        <v>148</v>
      </c>
      <c r="D9" t="s">
        <v>40</v>
      </c>
      <c r="E9" s="17">
        <v>160210</v>
      </c>
      <c r="F9">
        <f>K27+Feuil2!D8</f>
        <v>34414</v>
      </c>
      <c r="G9">
        <f>K22+Feuil3!F8</f>
        <v>34414</v>
      </c>
      <c r="M9">
        <f>K21+Feuil3!F7</f>
        <v>45197</v>
      </c>
    </row>
    <row r="10" spans="2:14" x14ac:dyDescent="0.25">
      <c r="B10" t="s">
        <v>31</v>
      </c>
      <c r="C10" t="s">
        <v>149</v>
      </c>
      <c r="D10" t="s">
        <v>41</v>
      </c>
      <c r="E10" s="17">
        <v>29280</v>
      </c>
      <c r="F10">
        <f>K28+Feuil2!D9</f>
        <v>163687</v>
      </c>
      <c r="G10">
        <f>K23+Feuil3!F9</f>
        <v>163687</v>
      </c>
      <c r="M10">
        <f>K22+Feuil3!F8</f>
        <v>34414</v>
      </c>
    </row>
    <row r="11" spans="2:14" x14ac:dyDescent="0.25">
      <c r="B11" t="s">
        <v>31</v>
      </c>
      <c r="C11" t="s">
        <v>150</v>
      </c>
      <c r="D11" t="s">
        <v>42</v>
      </c>
      <c r="E11" s="17">
        <v>107200</v>
      </c>
      <c r="F11">
        <f>K29+Feuil2!D10</f>
        <v>197994</v>
      </c>
      <c r="G11">
        <f>K24+Feuil3!F10</f>
        <v>197994</v>
      </c>
      <c r="M11">
        <f>K23+Feuil3!F9</f>
        <v>163687</v>
      </c>
    </row>
    <row r="12" spans="2:14" x14ac:dyDescent="0.25">
      <c r="B12" t="s">
        <v>31</v>
      </c>
      <c r="C12" t="s">
        <v>151</v>
      </c>
      <c r="D12" t="s">
        <v>43</v>
      </c>
      <c r="E12" s="17">
        <v>52739</v>
      </c>
      <c r="F12">
        <f>K30+Feuil2!D11</f>
        <v>124228</v>
      </c>
      <c r="G12">
        <f>K25+Feuil3!F11</f>
        <v>124228</v>
      </c>
      <c r="M12">
        <f>K24+Feuil3!F10</f>
        <v>197994</v>
      </c>
    </row>
    <row r="13" spans="2:14" x14ac:dyDescent="0.25">
      <c r="B13" t="s">
        <v>348</v>
      </c>
      <c r="C13" t="s">
        <v>152</v>
      </c>
      <c r="D13" s="9" t="s">
        <v>44</v>
      </c>
      <c r="E13" s="17">
        <v>33393</v>
      </c>
      <c r="F13">
        <f>K31+Feuil2!D12</f>
        <v>184941</v>
      </c>
      <c r="G13">
        <f>K26+Feuil3!F12</f>
        <v>184941</v>
      </c>
      <c r="M13">
        <f>K25+Feuil3!F11</f>
        <v>124228</v>
      </c>
    </row>
    <row r="14" spans="2:14" x14ac:dyDescent="0.25">
      <c r="B14" t="s">
        <v>348</v>
      </c>
      <c r="C14" t="s">
        <v>153</v>
      </c>
      <c r="D14" s="9" t="s">
        <v>45</v>
      </c>
      <c r="E14" s="17">
        <v>129824</v>
      </c>
      <c r="F14">
        <f>K32+Feuil2!D13</f>
        <v>14566</v>
      </c>
      <c r="G14">
        <f>K27+Feuil3!F13</f>
        <v>14566</v>
      </c>
      <c r="M14">
        <f>K26+Feuil3!F12</f>
        <v>184941</v>
      </c>
    </row>
    <row r="15" spans="2:14" x14ac:dyDescent="0.25">
      <c r="B15" t="s">
        <v>348</v>
      </c>
      <c r="C15" t="s">
        <v>154</v>
      </c>
      <c r="D15" s="9" t="s">
        <v>46</v>
      </c>
      <c r="E15" s="17">
        <v>145569</v>
      </c>
      <c r="F15">
        <f>K33+Feuil2!D14</f>
        <v>120095</v>
      </c>
      <c r="G15">
        <f>K28+Feuil3!F14</f>
        <v>120095</v>
      </c>
      <c r="M15">
        <f>K27+Feuil3!F13</f>
        <v>14566</v>
      </c>
    </row>
    <row r="16" spans="2:14" x14ac:dyDescent="0.25">
      <c r="B16" t="s">
        <v>31</v>
      </c>
      <c r="C16" t="s">
        <v>155</v>
      </c>
      <c r="D16" s="9" t="s">
        <v>47</v>
      </c>
      <c r="E16" s="17">
        <v>174043</v>
      </c>
      <c r="F16">
        <f>K34+Feuil2!D15</f>
        <v>181833</v>
      </c>
      <c r="G16">
        <f>K29+Feuil3!F15</f>
        <v>181833</v>
      </c>
      <c r="K16">
        <f>Feuil3!F111+Feuil2!G15+Feuil1!B24</f>
        <v>875</v>
      </c>
      <c r="M16">
        <f>K28+Feuil3!F14</f>
        <v>120095</v>
      </c>
    </row>
    <row r="17" spans="2:13" x14ac:dyDescent="0.25">
      <c r="B17" t="s">
        <v>31</v>
      </c>
      <c r="C17" t="s">
        <v>156</v>
      </c>
      <c r="D17" s="9" t="s">
        <v>48</v>
      </c>
      <c r="E17" s="17">
        <v>186625</v>
      </c>
      <c r="F17">
        <f>K35+Feuil2!D16</f>
        <v>53206</v>
      </c>
      <c r="G17">
        <f>K30+Feuil3!F16</f>
        <v>53206</v>
      </c>
      <c r="M17">
        <f>K29+Feuil3!F15</f>
        <v>181833</v>
      </c>
    </row>
    <row r="18" spans="2:13" x14ac:dyDescent="0.25">
      <c r="B18" t="s">
        <v>31</v>
      </c>
      <c r="C18" t="s">
        <v>157</v>
      </c>
      <c r="D18" s="9" t="s">
        <v>49</v>
      </c>
      <c r="E18" s="17">
        <v>163904</v>
      </c>
      <c r="F18">
        <f>K36+Feuil2!D17</f>
        <v>198291</v>
      </c>
      <c r="G18">
        <f>K31+Feuil3!F17</f>
        <v>198291</v>
      </c>
      <c r="M18">
        <f>K30+Feuil3!F16</f>
        <v>53206</v>
      </c>
    </row>
    <row r="19" spans="2:13" x14ac:dyDescent="0.25">
      <c r="B19" t="s">
        <v>31</v>
      </c>
      <c r="C19" t="s">
        <v>158</v>
      </c>
      <c r="D19" s="9" t="s">
        <v>50</v>
      </c>
      <c r="E19" s="17">
        <v>128390</v>
      </c>
      <c r="F19">
        <f>K37+Feuil2!D18</f>
        <v>177418</v>
      </c>
      <c r="G19">
        <f>K32+Feuil3!F18</f>
        <v>177418</v>
      </c>
      <c r="M19">
        <f>K31+Feuil3!F17</f>
        <v>198291</v>
      </c>
    </row>
    <row r="20" spans="2:13" x14ac:dyDescent="0.25">
      <c r="B20" t="s">
        <v>31</v>
      </c>
      <c r="C20" t="s">
        <v>159</v>
      </c>
      <c r="D20" s="9" t="s">
        <v>51</v>
      </c>
      <c r="E20" s="17">
        <v>165349</v>
      </c>
      <c r="F20">
        <f>K38+Feuil2!D19</f>
        <v>83305</v>
      </c>
      <c r="G20">
        <f>K33+Feuil3!F19</f>
        <v>83305</v>
      </c>
      <c r="M20">
        <f>K32+Feuil3!F18</f>
        <v>177418</v>
      </c>
    </row>
    <row r="21" spans="2:13" x14ac:dyDescent="0.25">
      <c r="B21" t="s">
        <v>348</v>
      </c>
      <c r="C21" t="s">
        <v>160</v>
      </c>
      <c r="D21" s="9" t="s">
        <v>52</v>
      </c>
      <c r="E21" s="17">
        <v>51863</v>
      </c>
      <c r="F21">
        <f>K39+Feuil2!D20</f>
        <v>164628</v>
      </c>
      <c r="G21">
        <f>K34+Feuil3!F20</f>
        <v>164628</v>
      </c>
      <c r="K21">
        <f>Feuil3!F111+Feuil2!G15</f>
        <v>873</v>
      </c>
      <c r="M21">
        <f>K33+Feuil3!F19</f>
        <v>83305</v>
      </c>
    </row>
    <row r="22" spans="2:13" x14ac:dyDescent="0.25">
      <c r="B22" t="s">
        <v>348</v>
      </c>
      <c r="C22" t="s">
        <v>161</v>
      </c>
      <c r="D22" s="9" t="s">
        <v>53</v>
      </c>
      <c r="E22" s="17">
        <v>50417</v>
      </c>
      <c r="F22">
        <f>K40+Feuil2!D21</f>
        <v>96051</v>
      </c>
      <c r="G22">
        <f>K35+Feuil3!F21</f>
        <v>96051</v>
      </c>
      <c r="M22">
        <f>K34+Feuil3!F20</f>
        <v>164628</v>
      </c>
    </row>
    <row r="23" spans="2:13" x14ac:dyDescent="0.25">
      <c r="B23" t="s">
        <v>348</v>
      </c>
      <c r="C23" t="s">
        <v>162</v>
      </c>
      <c r="D23" s="9" t="s">
        <v>54</v>
      </c>
      <c r="E23" s="17">
        <v>177769</v>
      </c>
      <c r="F23">
        <f>K41+Feuil2!D22</f>
        <v>97289</v>
      </c>
      <c r="G23">
        <f>K36+Feuil3!F22</f>
        <v>97289</v>
      </c>
      <c r="M23">
        <f>K35+Feuil3!F21</f>
        <v>96051</v>
      </c>
    </row>
    <row r="24" spans="2:13" x14ac:dyDescent="0.25">
      <c r="B24" t="s">
        <v>31</v>
      </c>
      <c r="C24" t="s">
        <v>163</v>
      </c>
      <c r="D24" s="9" t="s">
        <v>55</v>
      </c>
      <c r="E24" s="17">
        <v>188323</v>
      </c>
      <c r="F24">
        <f>K42+Feuil2!D23</f>
        <v>9135</v>
      </c>
      <c r="G24">
        <f>K37+Feuil3!F23</f>
        <v>9135</v>
      </c>
      <c r="M24">
        <f>K36+Feuil3!F22</f>
        <v>97289</v>
      </c>
    </row>
    <row r="25" spans="2:13" x14ac:dyDescent="0.25">
      <c r="B25" t="s">
        <v>31</v>
      </c>
      <c r="C25" t="s">
        <v>164</v>
      </c>
      <c r="D25" s="9" t="s">
        <v>56</v>
      </c>
      <c r="E25" s="17">
        <v>100644</v>
      </c>
      <c r="F25">
        <f>K43+Feuil2!D24</f>
        <v>130971</v>
      </c>
      <c r="G25">
        <f>K38+Feuil3!F24</f>
        <v>130971</v>
      </c>
      <c r="M25">
        <f>K37+Feuil3!F23</f>
        <v>9135</v>
      </c>
    </row>
    <row r="26" spans="2:13" x14ac:dyDescent="0.25">
      <c r="B26" t="s">
        <v>31</v>
      </c>
      <c r="C26" t="s">
        <v>165</v>
      </c>
      <c r="D26" s="9" t="s">
        <v>57</v>
      </c>
      <c r="E26" s="17">
        <v>37577</v>
      </c>
      <c r="F26">
        <f>K44+Feuil2!D25</f>
        <v>134374</v>
      </c>
      <c r="M26">
        <f>K38+Feuil3!F24</f>
        <v>130971</v>
      </c>
    </row>
    <row r="27" spans="2:13" x14ac:dyDescent="0.25">
      <c r="B27" t="s">
        <v>31</v>
      </c>
      <c r="C27" t="s">
        <v>166</v>
      </c>
      <c r="D27" s="9" t="s">
        <v>58</v>
      </c>
      <c r="E27" s="17">
        <v>82301</v>
      </c>
      <c r="F27">
        <f>K45+Feuil2!D26</f>
        <v>116568</v>
      </c>
      <c r="I27" s="6">
        <v>44562</v>
      </c>
      <c r="J27" s="6">
        <v>44926</v>
      </c>
      <c r="M27">
        <f>K39+Feuil3!F25</f>
        <v>134374</v>
      </c>
    </row>
    <row r="28" spans="2:13" x14ac:dyDescent="0.25">
      <c r="B28" t="s">
        <v>31</v>
      </c>
      <c r="C28" t="s">
        <v>167</v>
      </c>
      <c r="D28" s="9" t="s">
        <v>59</v>
      </c>
      <c r="E28" s="17">
        <v>143154</v>
      </c>
      <c r="F28">
        <f>K46+Feuil2!D27</f>
        <v>126114</v>
      </c>
      <c r="I28">
        <f>NETWORKDAYS(I27,J27,"22/12/2022")</f>
        <v>259</v>
      </c>
      <c r="M28">
        <f>K40+Feuil3!F26</f>
        <v>65469</v>
      </c>
    </row>
    <row r="29" spans="2:13" x14ac:dyDescent="0.25">
      <c r="B29" t="s">
        <v>348</v>
      </c>
      <c r="C29" t="s">
        <v>168</v>
      </c>
      <c r="D29" s="9" t="s">
        <v>60</v>
      </c>
      <c r="E29" s="17">
        <v>172721</v>
      </c>
      <c r="F29">
        <f>K47+Feuil2!D28</f>
        <v>214</v>
      </c>
    </row>
    <row r="30" spans="2:13" x14ac:dyDescent="0.25">
      <c r="B30" t="s">
        <v>348</v>
      </c>
      <c r="C30" t="s">
        <v>169</v>
      </c>
      <c r="D30" s="9" t="s">
        <v>61</v>
      </c>
      <c r="E30" s="17">
        <v>179475</v>
      </c>
      <c r="F30">
        <f>K48+Feuil2!D29</f>
        <v>117754</v>
      </c>
    </row>
    <row r="31" spans="2:13" x14ac:dyDescent="0.25">
      <c r="B31" t="s">
        <v>348</v>
      </c>
      <c r="C31" t="s">
        <v>170</v>
      </c>
      <c r="D31" s="9" t="s">
        <v>62</v>
      </c>
      <c r="E31" s="17">
        <v>8899</v>
      </c>
      <c r="F31">
        <f>K49+Feuil2!D30</f>
        <v>51139</v>
      </c>
    </row>
    <row r="32" spans="2:13" x14ac:dyDescent="0.25">
      <c r="B32" t="s">
        <v>31</v>
      </c>
      <c r="C32" t="s">
        <v>171</v>
      </c>
      <c r="D32" s="9" t="s">
        <v>63</v>
      </c>
      <c r="E32" s="17">
        <v>115058</v>
      </c>
      <c r="F32">
        <f>K50+Feuil2!D31</f>
        <v>66398</v>
      </c>
    </row>
    <row r="33" spans="2:6" x14ac:dyDescent="0.25">
      <c r="B33" t="s">
        <v>31</v>
      </c>
      <c r="C33" t="s">
        <v>172</v>
      </c>
      <c r="D33" s="9" t="s">
        <v>64</v>
      </c>
      <c r="E33" s="17">
        <v>86220</v>
      </c>
      <c r="F33">
        <f>K51+Feuil2!D32</f>
        <v>89050</v>
      </c>
    </row>
    <row r="34" spans="2:6" x14ac:dyDescent="0.25">
      <c r="B34" t="s">
        <v>31</v>
      </c>
      <c r="C34" t="s">
        <v>173</v>
      </c>
      <c r="D34" s="9" t="s">
        <v>65</v>
      </c>
      <c r="E34" s="17">
        <v>113128</v>
      </c>
      <c r="F34">
        <f>K52+Feuil2!D33</f>
        <v>185686</v>
      </c>
    </row>
    <row r="35" spans="2:6" x14ac:dyDescent="0.25">
      <c r="B35" t="s">
        <v>31</v>
      </c>
      <c r="C35" t="s">
        <v>174</v>
      </c>
      <c r="D35" s="9" t="s">
        <v>66</v>
      </c>
      <c r="E35" s="17">
        <v>101430</v>
      </c>
      <c r="F35">
        <f>K53+Feuil2!D34</f>
        <v>17112</v>
      </c>
    </row>
    <row r="36" spans="2:6" x14ac:dyDescent="0.25">
      <c r="B36" t="s">
        <v>31</v>
      </c>
      <c r="C36" t="s">
        <v>175</v>
      </c>
      <c r="D36" s="9" t="s">
        <v>67</v>
      </c>
      <c r="E36" s="17">
        <v>47752</v>
      </c>
      <c r="F36">
        <f>K54+Feuil2!D35</f>
        <v>133092</v>
      </c>
    </row>
    <row r="37" spans="2:6" x14ac:dyDescent="0.25">
      <c r="B37" t="s">
        <v>348</v>
      </c>
      <c r="C37" t="s">
        <v>176</v>
      </c>
      <c r="D37" s="9" t="s">
        <v>68</v>
      </c>
      <c r="E37" s="17">
        <v>191339</v>
      </c>
      <c r="F37">
        <f>K55+Feuil2!D36</f>
        <v>52363</v>
      </c>
    </row>
    <row r="38" spans="2:6" x14ac:dyDescent="0.25">
      <c r="B38" t="s">
        <v>348</v>
      </c>
      <c r="C38" t="s">
        <v>177</v>
      </c>
      <c r="D38" s="9" t="s">
        <v>69</v>
      </c>
      <c r="E38" s="17">
        <v>19192</v>
      </c>
      <c r="F38">
        <f>K56+Feuil2!D37</f>
        <v>94262</v>
      </c>
    </row>
    <row r="39" spans="2:6" x14ac:dyDescent="0.25">
      <c r="B39" t="s">
        <v>348</v>
      </c>
      <c r="C39" t="s">
        <v>178</v>
      </c>
      <c r="D39" s="9" t="s">
        <v>70</v>
      </c>
      <c r="E39" s="17">
        <v>58006</v>
      </c>
      <c r="F39">
        <f>K57+Feuil2!D38</f>
        <v>62594</v>
      </c>
    </row>
    <row r="40" spans="2:6" x14ac:dyDescent="0.25">
      <c r="B40" t="s">
        <v>31</v>
      </c>
      <c r="C40" t="s">
        <v>179</v>
      </c>
      <c r="D40" s="9" t="s">
        <v>71</v>
      </c>
      <c r="E40" s="17">
        <v>69955</v>
      </c>
      <c r="F40">
        <f>K58+Feuil2!D39</f>
        <v>144069</v>
      </c>
    </row>
    <row r="41" spans="2:6" x14ac:dyDescent="0.25">
      <c r="B41" t="s">
        <v>31</v>
      </c>
      <c r="C41" t="s">
        <v>180</v>
      </c>
      <c r="D41" s="9" t="s">
        <v>72</v>
      </c>
      <c r="E41" s="17">
        <v>49307</v>
      </c>
      <c r="F41">
        <f>K59+Feuil2!D40</f>
        <v>186493</v>
      </c>
    </row>
    <row r="42" spans="2:6" x14ac:dyDescent="0.25">
      <c r="B42" t="s">
        <v>31</v>
      </c>
      <c r="C42" t="s">
        <v>181</v>
      </c>
      <c r="D42" s="9" t="s">
        <v>73</v>
      </c>
      <c r="E42" s="17">
        <v>73750</v>
      </c>
      <c r="F42">
        <f>K60+Feuil2!D41</f>
        <v>40741</v>
      </c>
    </row>
    <row r="43" spans="2:6" x14ac:dyDescent="0.25">
      <c r="B43" t="s">
        <v>31</v>
      </c>
      <c r="C43" t="s">
        <v>182</v>
      </c>
      <c r="D43" s="9" t="s">
        <v>74</v>
      </c>
      <c r="E43" s="17">
        <v>152646</v>
      </c>
      <c r="F43">
        <f>K61+Feuil2!D42</f>
        <v>17608</v>
      </c>
    </row>
    <row r="44" spans="2:6" x14ac:dyDescent="0.25">
      <c r="B44" t="s">
        <v>31</v>
      </c>
      <c r="C44" t="s">
        <v>183</v>
      </c>
      <c r="D44" s="9" t="s">
        <v>75</v>
      </c>
      <c r="E44" s="17">
        <v>193297</v>
      </c>
      <c r="F44">
        <f>K62+Feuil2!D43</f>
        <v>113499</v>
      </c>
    </row>
    <row r="45" spans="2:6" x14ac:dyDescent="0.25">
      <c r="B45" t="s">
        <v>348</v>
      </c>
      <c r="C45" t="s">
        <v>184</v>
      </c>
      <c r="D45" s="9" t="s">
        <v>76</v>
      </c>
      <c r="E45" s="17">
        <v>73202</v>
      </c>
      <c r="F45">
        <f>K63+Feuil2!D44</f>
        <v>67865</v>
      </c>
    </row>
    <row r="46" spans="2:6" x14ac:dyDescent="0.25">
      <c r="B46" t="s">
        <v>348</v>
      </c>
      <c r="C46" t="s">
        <v>185</v>
      </c>
      <c r="D46" s="9" t="s">
        <v>77</v>
      </c>
      <c r="E46" s="17">
        <v>129222</v>
      </c>
      <c r="F46">
        <f>K64+Feuil2!D45</f>
        <v>163404</v>
      </c>
    </row>
    <row r="47" spans="2:6" x14ac:dyDescent="0.25">
      <c r="B47" t="s">
        <v>348</v>
      </c>
      <c r="C47" t="s">
        <v>186</v>
      </c>
      <c r="D47" s="9" t="s">
        <v>78</v>
      </c>
      <c r="E47" s="17">
        <v>11573</v>
      </c>
      <c r="F47">
        <f>K65+Feuil2!D46</f>
        <v>106109</v>
      </c>
    </row>
    <row r="48" spans="2:6" x14ac:dyDescent="0.25">
      <c r="B48" t="s">
        <v>31</v>
      </c>
      <c r="C48" t="s">
        <v>187</v>
      </c>
      <c r="D48" s="9" t="s">
        <v>79</v>
      </c>
      <c r="E48" s="17">
        <v>145463</v>
      </c>
      <c r="F48">
        <f>K66+Feuil2!D47</f>
        <v>148653</v>
      </c>
    </row>
    <row r="49" spans="2:6" x14ac:dyDescent="0.25">
      <c r="B49" t="s">
        <v>31</v>
      </c>
      <c r="C49" t="s">
        <v>188</v>
      </c>
      <c r="D49" s="9" t="s">
        <v>80</v>
      </c>
      <c r="E49" s="17">
        <v>78918</v>
      </c>
      <c r="F49">
        <f>K67+Feuil2!D48</f>
        <v>135899</v>
      </c>
    </row>
    <row r="50" spans="2:6" x14ac:dyDescent="0.25">
      <c r="B50" t="s">
        <v>31</v>
      </c>
      <c r="C50" t="s">
        <v>189</v>
      </c>
      <c r="D50" s="9" t="s">
        <v>81</v>
      </c>
      <c r="E50" s="17">
        <v>151</v>
      </c>
      <c r="F50">
        <f>K68+Feuil2!D49</f>
        <v>117659</v>
      </c>
    </row>
    <row r="51" spans="2:6" x14ac:dyDescent="0.25">
      <c r="B51" t="s">
        <v>31</v>
      </c>
      <c r="C51" t="s">
        <v>190</v>
      </c>
      <c r="D51" s="9" t="s">
        <v>82</v>
      </c>
      <c r="E51" s="17">
        <v>186456</v>
      </c>
      <c r="F51">
        <f>K69+Feuil2!D50</f>
        <v>123196</v>
      </c>
    </row>
    <row r="52" spans="2:6" x14ac:dyDescent="0.25">
      <c r="B52" t="s">
        <v>31</v>
      </c>
      <c r="C52" t="s">
        <v>191</v>
      </c>
      <c r="D52" s="9" t="s">
        <v>83</v>
      </c>
      <c r="E52" s="17">
        <v>23289</v>
      </c>
      <c r="F52">
        <f>K70+Feuil2!D51</f>
        <v>53870</v>
      </c>
    </row>
    <row r="53" spans="2:6" x14ac:dyDescent="0.25">
      <c r="B53" t="s">
        <v>348</v>
      </c>
      <c r="C53" t="s">
        <v>192</v>
      </c>
      <c r="D53" s="9" t="s">
        <v>84</v>
      </c>
      <c r="E53" s="17">
        <v>137281</v>
      </c>
      <c r="F53">
        <f>K71+Feuil2!D52</f>
        <v>128810</v>
      </c>
    </row>
    <row r="54" spans="2:6" x14ac:dyDescent="0.25">
      <c r="B54" t="s">
        <v>348</v>
      </c>
      <c r="C54" t="s">
        <v>193</v>
      </c>
      <c r="D54" s="9" t="s">
        <v>85</v>
      </c>
      <c r="E54" s="17">
        <v>1161</v>
      </c>
      <c r="F54">
        <f>K72+Feuil2!D53</f>
        <v>60839</v>
      </c>
    </row>
    <row r="55" spans="2:6" x14ac:dyDescent="0.25">
      <c r="B55" t="s">
        <v>348</v>
      </c>
      <c r="C55" t="s">
        <v>194</v>
      </c>
      <c r="D55" s="9" t="s">
        <v>86</v>
      </c>
      <c r="E55" s="17">
        <v>30751</v>
      </c>
      <c r="F55">
        <f>K73+Feuil2!D54</f>
        <v>9075</v>
      </c>
    </row>
    <row r="56" spans="2:6" x14ac:dyDescent="0.25">
      <c r="B56" t="s">
        <v>31</v>
      </c>
      <c r="C56" t="s">
        <v>195</v>
      </c>
      <c r="D56" s="9" t="s">
        <v>87</v>
      </c>
      <c r="E56" s="17">
        <v>186139</v>
      </c>
      <c r="F56">
        <f>K74+Feuil2!D55</f>
        <v>147800</v>
      </c>
    </row>
    <row r="57" spans="2:6" x14ac:dyDescent="0.25">
      <c r="B57" t="s">
        <v>31</v>
      </c>
      <c r="C57" t="s">
        <v>196</v>
      </c>
      <c r="D57" s="9" t="s">
        <v>88</v>
      </c>
      <c r="E57" s="17">
        <v>90554</v>
      </c>
      <c r="F57">
        <f>K75+Feuil2!D56</f>
        <v>12333</v>
      </c>
    </row>
    <row r="58" spans="2:6" x14ac:dyDescent="0.25">
      <c r="B58" t="s">
        <v>31</v>
      </c>
      <c r="C58" t="s">
        <v>197</v>
      </c>
      <c r="D58" s="9" t="s">
        <v>89</v>
      </c>
      <c r="E58" s="17">
        <v>68190</v>
      </c>
      <c r="F58">
        <f>K76+Feuil2!D57</f>
        <v>39269</v>
      </c>
    </row>
    <row r="59" spans="2:6" x14ac:dyDescent="0.25">
      <c r="B59" t="s">
        <v>31</v>
      </c>
      <c r="C59" t="s">
        <v>198</v>
      </c>
      <c r="D59" s="9" t="s">
        <v>90</v>
      </c>
      <c r="E59" s="17">
        <v>71322</v>
      </c>
      <c r="F59">
        <f>K77+Feuil2!D58</f>
        <v>113626</v>
      </c>
    </row>
    <row r="60" spans="2:6" x14ac:dyDescent="0.25">
      <c r="B60" t="s">
        <v>31</v>
      </c>
      <c r="C60" t="s">
        <v>199</v>
      </c>
      <c r="D60" s="9" t="s">
        <v>91</v>
      </c>
      <c r="E60" s="17">
        <v>176944</v>
      </c>
      <c r="F60">
        <f>K78+Feuil2!D59</f>
        <v>33952</v>
      </c>
    </row>
    <row r="61" spans="2:6" x14ac:dyDescent="0.25">
      <c r="B61" t="s">
        <v>348</v>
      </c>
      <c r="C61" t="s">
        <v>200</v>
      </c>
      <c r="D61" s="9" t="s">
        <v>92</v>
      </c>
      <c r="E61" s="17">
        <v>46687</v>
      </c>
      <c r="F61">
        <f>K79+Feuil2!D60</f>
        <v>15690</v>
      </c>
    </row>
    <row r="62" spans="2:6" x14ac:dyDescent="0.25">
      <c r="B62" t="s">
        <v>348</v>
      </c>
      <c r="C62" t="s">
        <v>201</v>
      </c>
      <c r="D62" s="9" t="s">
        <v>93</v>
      </c>
      <c r="E62" s="17">
        <v>99008</v>
      </c>
      <c r="F62">
        <f>K80+Feuil2!D61</f>
        <v>66190</v>
      </c>
    </row>
    <row r="63" spans="2:6" x14ac:dyDescent="0.25">
      <c r="B63" t="s">
        <v>348</v>
      </c>
      <c r="C63" t="s">
        <v>202</v>
      </c>
      <c r="D63" s="9" t="s">
        <v>94</v>
      </c>
      <c r="E63" s="17">
        <v>79795</v>
      </c>
      <c r="F63">
        <f>K81+Feuil2!D62</f>
        <v>25691</v>
      </c>
    </row>
    <row r="64" spans="2:6" x14ac:dyDescent="0.25">
      <c r="B64" t="s">
        <v>31</v>
      </c>
      <c r="C64" t="s">
        <v>203</v>
      </c>
      <c r="D64" s="9" t="s">
        <v>95</v>
      </c>
      <c r="E64" s="17">
        <v>120103</v>
      </c>
      <c r="F64">
        <f>K82+Feuil2!D63</f>
        <v>118100</v>
      </c>
    </row>
    <row r="65" spans="2:6" x14ac:dyDescent="0.25">
      <c r="B65" t="s">
        <v>31</v>
      </c>
      <c r="C65" t="s">
        <v>204</v>
      </c>
      <c r="D65" s="9" t="s">
        <v>96</v>
      </c>
      <c r="E65" s="17">
        <v>85002</v>
      </c>
      <c r="F65">
        <f>K83+Feuil2!D64</f>
        <v>185840</v>
      </c>
    </row>
    <row r="66" spans="2:6" x14ac:dyDescent="0.25">
      <c r="B66" t="s">
        <v>31</v>
      </c>
      <c r="C66" t="s">
        <v>205</v>
      </c>
      <c r="D66" s="9" t="s">
        <v>97</v>
      </c>
      <c r="E66" s="17">
        <v>81851</v>
      </c>
      <c r="F66">
        <f>K84+Feuil2!D65</f>
        <v>10447</v>
      </c>
    </row>
    <row r="67" spans="2:6" x14ac:dyDescent="0.25">
      <c r="B67" t="s">
        <v>31</v>
      </c>
      <c r="C67" t="s">
        <v>206</v>
      </c>
      <c r="D67" s="9" t="s">
        <v>98</v>
      </c>
      <c r="E67" s="17">
        <v>75230</v>
      </c>
      <c r="F67">
        <f>K85+Feuil2!D66</f>
        <v>165959</v>
      </c>
    </row>
    <row r="68" spans="2:6" x14ac:dyDescent="0.25">
      <c r="B68" t="s">
        <v>31</v>
      </c>
      <c r="C68" t="s">
        <v>207</v>
      </c>
      <c r="D68" s="9" t="s">
        <v>99</v>
      </c>
      <c r="E68" s="17">
        <v>1924</v>
      </c>
      <c r="F68">
        <f>K86+Feuil2!D67</f>
        <v>140944</v>
      </c>
    </row>
    <row r="69" spans="2:6" x14ac:dyDescent="0.25">
      <c r="B69" t="s">
        <v>348</v>
      </c>
      <c r="C69" t="s">
        <v>208</v>
      </c>
      <c r="D69" s="9" t="s">
        <v>100</v>
      </c>
      <c r="E69" s="17">
        <v>150242</v>
      </c>
      <c r="F69">
        <f>K87+Feuil2!D68</f>
        <v>190088</v>
      </c>
    </row>
    <row r="70" spans="2:6" x14ac:dyDescent="0.25">
      <c r="B70" t="s">
        <v>348</v>
      </c>
      <c r="C70" t="s">
        <v>209</v>
      </c>
      <c r="D70" s="9" t="s">
        <v>101</v>
      </c>
      <c r="E70" s="17">
        <v>59951</v>
      </c>
      <c r="F70">
        <f>K88+Feuil2!D69</f>
        <v>100057</v>
      </c>
    </row>
    <row r="71" spans="2:6" x14ac:dyDescent="0.25">
      <c r="B71" t="s">
        <v>348</v>
      </c>
      <c r="C71" t="s">
        <v>210</v>
      </c>
      <c r="D71" s="9" t="s">
        <v>102</v>
      </c>
      <c r="E71" s="17">
        <v>53042</v>
      </c>
      <c r="F71">
        <f>K89+Feuil2!D70</f>
        <v>51100</v>
      </c>
    </row>
    <row r="72" spans="2:6" x14ac:dyDescent="0.25">
      <c r="B72" t="s">
        <v>31</v>
      </c>
      <c r="C72" t="s">
        <v>211</v>
      </c>
      <c r="D72" s="9" t="s">
        <v>103</v>
      </c>
      <c r="E72" s="17">
        <v>161747</v>
      </c>
      <c r="F72">
        <f>K90+Feuil2!D71</f>
        <v>1744</v>
      </c>
    </row>
    <row r="73" spans="2:6" x14ac:dyDescent="0.25">
      <c r="B73" t="s">
        <v>31</v>
      </c>
      <c r="C73" t="s">
        <v>212</v>
      </c>
      <c r="D73" s="9" t="s">
        <v>104</v>
      </c>
      <c r="E73" s="17">
        <v>59873</v>
      </c>
      <c r="F73">
        <f>K91+Feuil2!D72</f>
        <v>83056</v>
      </c>
    </row>
    <row r="74" spans="2:6" x14ac:dyDescent="0.25">
      <c r="B74" t="s">
        <v>31</v>
      </c>
      <c r="C74" t="s">
        <v>213</v>
      </c>
      <c r="D74" s="9" t="s">
        <v>105</v>
      </c>
      <c r="E74" s="17">
        <v>24240</v>
      </c>
      <c r="F74">
        <f>K92+Feuil2!D73</f>
        <v>79721</v>
      </c>
    </row>
    <row r="75" spans="2:6" x14ac:dyDescent="0.25">
      <c r="B75" t="s">
        <v>31</v>
      </c>
      <c r="C75" t="s">
        <v>214</v>
      </c>
      <c r="D75" s="9" t="s">
        <v>106</v>
      </c>
      <c r="E75" s="17">
        <v>43681</v>
      </c>
      <c r="F75">
        <f>K93+Feuil2!D74</f>
        <v>90748</v>
      </c>
    </row>
    <row r="76" spans="2:6" x14ac:dyDescent="0.25">
      <c r="B76" t="s">
        <v>31</v>
      </c>
      <c r="C76" t="s">
        <v>215</v>
      </c>
      <c r="D76" s="9" t="s">
        <v>107</v>
      </c>
      <c r="E76" s="17">
        <v>139385</v>
      </c>
      <c r="F76">
        <f>K94+Feuil2!D75</f>
        <v>29732</v>
      </c>
    </row>
    <row r="77" spans="2:6" x14ac:dyDescent="0.25">
      <c r="B77" t="s">
        <v>348</v>
      </c>
      <c r="C77" t="s">
        <v>216</v>
      </c>
      <c r="D77" s="9" t="s">
        <v>108</v>
      </c>
      <c r="E77" s="17">
        <v>133693</v>
      </c>
      <c r="F77">
        <f>K95+Feuil2!D76</f>
        <v>17476</v>
      </c>
    </row>
    <row r="78" spans="2:6" x14ac:dyDescent="0.25">
      <c r="B78" t="s">
        <v>348</v>
      </c>
      <c r="C78" t="s">
        <v>217</v>
      </c>
      <c r="D78" s="9" t="s">
        <v>109</v>
      </c>
      <c r="E78" s="17">
        <v>86639</v>
      </c>
      <c r="F78">
        <f>K96+Feuil2!D77</f>
        <v>193660</v>
      </c>
    </row>
    <row r="79" spans="2:6" x14ac:dyDescent="0.25">
      <c r="B79" t="s">
        <v>348</v>
      </c>
      <c r="C79" t="s">
        <v>218</v>
      </c>
      <c r="D79" s="9" t="s">
        <v>110</v>
      </c>
      <c r="E79" s="17">
        <v>93822</v>
      </c>
      <c r="F79">
        <f>K97+Feuil2!D78</f>
        <v>54996</v>
      </c>
    </row>
    <row r="80" spans="2:6" x14ac:dyDescent="0.25">
      <c r="B80" t="s">
        <v>31</v>
      </c>
      <c r="C80" t="s">
        <v>219</v>
      </c>
      <c r="D80" s="9" t="s">
        <v>111</v>
      </c>
      <c r="E80" s="17">
        <v>178344</v>
      </c>
      <c r="F80">
        <f>K98+Feuil2!D79</f>
        <v>44993</v>
      </c>
    </row>
    <row r="81" spans="2:6" x14ac:dyDescent="0.25">
      <c r="B81" t="s">
        <v>31</v>
      </c>
      <c r="C81" t="s">
        <v>220</v>
      </c>
      <c r="D81" s="9" t="s">
        <v>112</v>
      </c>
      <c r="E81" s="17">
        <v>39589</v>
      </c>
      <c r="F81">
        <f>K99+Feuil2!D80</f>
        <v>167484</v>
      </c>
    </row>
    <row r="82" spans="2:6" x14ac:dyDescent="0.25">
      <c r="B82" t="s">
        <v>31</v>
      </c>
      <c r="C82" t="s">
        <v>221</v>
      </c>
      <c r="D82" s="9" t="s">
        <v>113</v>
      </c>
      <c r="E82" s="17">
        <v>6758</v>
      </c>
      <c r="F82">
        <f>K100+Feuil2!D81</f>
        <v>198411</v>
      </c>
    </row>
    <row r="83" spans="2:6" x14ac:dyDescent="0.25">
      <c r="B83" t="s">
        <v>31</v>
      </c>
      <c r="C83" t="s">
        <v>222</v>
      </c>
      <c r="D83" s="9" t="s">
        <v>114</v>
      </c>
      <c r="E83" s="17">
        <v>1308</v>
      </c>
      <c r="F83">
        <f>K101+Feuil2!D82</f>
        <v>20030</v>
      </c>
    </row>
    <row r="84" spans="2:6" x14ac:dyDescent="0.25">
      <c r="B84" t="s">
        <v>31</v>
      </c>
      <c r="C84" t="s">
        <v>223</v>
      </c>
      <c r="D84" s="9" t="s">
        <v>115</v>
      </c>
      <c r="E84" s="17">
        <v>9816</v>
      </c>
      <c r="F84">
        <f>K102+Feuil2!D83</f>
        <v>78606</v>
      </c>
    </row>
    <row r="85" spans="2:6" x14ac:dyDescent="0.25">
      <c r="B85" t="s">
        <v>348</v>
      </c>
      <c r="C85" t="s">
        <v>224</v>
      </c>
      <c r="D85" s="9" t="s">
        <v>116</v>
      </c>
      <c r="E85" s="17">
        <v>199533</v>
      </c>
      <c r="F85">
        <f>K103+Feuil2!D84</f>
        <v>193701</v>
      </c>
    </row>
    <row r="86" spans="2:6" x14ac:dyDescent="0.25">
      <c r="B86" t="s">
        <v>348</v>
      </c>
      <c r="C86" t="s">
        <v>225</v>
      </c>
      <c r="D86" s="9" t="s">
        <v>117</v>
      </c>
      <c r="E86" s="17">
        <v>153412</v>
      </c>
      <c r="F86">
        <f>K104+Feuil2!D85</f>
        <v>148569</v>
      </c>
    </row>
    <row r="87" spans="2:6" x14ac:dyDescent="0.25">
      <c r="B87" t="s">
        <v>348</v>
      </c>
      <c r="C87" t="s">
        <v>226</v>
      </c>
      <c r="D87" s="9" t="s">
        <v>118</v>
      </c>
      <c r="E87" s="17">
        <v>81903</v>
      </c>
      <c r="F87">
        <f>K105+Feuil2!D86</f>
        <v>177746</v>
      </c>
    </row>
    <row r="88" spans="2:6" x14ac:dyDescent="0.25">
      <c r="B88" t="s">
        <v>31</v>
      </c>
      <c r="C88" t="s">
        <v>227</v>
      </c>
      <c r="D88" s="9" t="s">
        <v>119</v>
      </c>
      <c r="E88" s="17">
        <v>147817</v>
      </c>
      <c r="F88">
        <f>K106+Feuil2!D87</f>
        <v>323</v>
      </c>
    </row>
    <row r="89" spans="2:6" x14ac:dyDescent="0.25">
      <c r="B89" t="s">
        <v>31</v>
      </c>
      <c r="C89" t="s">
        <v>228</v>
      </c>
      <c r="D89" s="9" t="s">
        <v>120</v>
      </c>
      <c r="E89" s="17">
        <v>48387</v>
      </c>
      <c r="F89">
        <f>K107+Feuil2!D88</f>
        <v>53074</v>
      </c>
    </row>
    <row r="90" spans="2:6" x14ac:dyDescent="0.25">
      <c r="B90" t="s">
        <v>31</v>
      </c>
      <c r="C90" t="s">
        <v>229</v>
      </c>
      <c r="D90" s="9" t="s">
        <v>121</v>
      </c>
      <c r="E90" s="17">
        <v>3232</v>
      </c>
      <c r="F90">
        <f>K108+Feuil2!D89</f>
        <v>31746</v>
      </c>
    </row>
    <row r="91" spans="2:6" x14ac:dyDescent="0.25">
      <c r="B91" t="s">
        <v>31</v>
      </c>
      <c r="C91" t="s">
        <v>230</v>
      </c>
      <c r="D91" s="9" t="s">
        <v>122</v>
      </c>
      <c r="E91" s="17">
        <v>171518</v>
      </c>
      <c r="F91">
        <f>K109+Feuil2!D90</f>
        <v>19909</v>
      </c>
    </row>
    <row r="92" spans="2:6" x14ac:dyDescent="0.25">
      <c r="B92" t="s">
        <v>31</v>
      </c>
      <c r="C92" t="s">
        <v>231</v>
      </c>
      <c r="D92" s="9" t="s">
        <v>123</v>
      </c>
      <c r="E92" s="17">
        <v>54249</v>
      </c>
      <c r="F92">
        <f>K110+Feuil2!D91</f>
        <v>32472</v>
      </c>
    </row>
    <row r="93" spans="2:6" x14ac:dyDescent="0.25">
      <c r="B93" t="s">
        <v>348</v>
      </c>
      <c r="C93" t="s">
        <v>232</v>
      </c>
      <c r="D93" s="9" t="s">
        <v>124</v>
      </c>
      <c r="E93" s="17">
        <v>40956</v>
      </c>
      <c r="F93">
        <f>K111+Feuil2!D92</f>
        <v>98359</v>
      </c>
    </row>
    <row r="94" spans="2:6" x14ac:dyDescent="0.25">
      <c r="B94" t="s">
        <v>348</v>
      </c>
      <c r="C94" t="s">
        <v>233</v>
      </c>
      <c r="D94" s="9" t="s">
        <v>125</v>
      </c>
      <c r="E94" s="17">
        <v>92956</v>
      </c>
      <c r="F94">
        <f>K112+Feuil2!D93</f>
        <v>94304</v>
      </c>
    </row>
    <row r="95" spans="2:6" x14ac:dyDescent="0.25">
      <c r="B95" t="s">
        <v>348</v>
      </c>
      <c r="C95" t="s">
        <v>234</v>
      </c>
      <c r="D95" s="9" t="s">
        <v>126</v>
      </c>
      <c r="E95" s="17">
        <v>182063</v>
      </c>
      <c r="F95">
        <f>K113+Feuil2!D94</f>
        <v>178237</v>
      </c>
    </row>
    <row r="96" spans="2:6" x14ac:dyDescent="0.25">
      <c r="B96" t="s">
        <v>31</v>
      </c>
      <c r="C96" t="s">
        <v>235</v>
      </c>
      <c r="D96" s="9" t="s">
        <v>127</v>
      </c>
      <c r="E96" s="17">
        <v>94933</v>
      </c>
      <c r="F96">
        <f>K114+Feuil2!D95</f>
        <v>153499</v>
      </c>
    </row>
    <row r="97" spans="2:6" x14ac:dyDescent="0.25">
      <c r="B97" t="s">
        <v>31</v>
      </c>
      <c r="C97" t="s">
        <v>236</v>
      </c>
      <c r="D97" s="9" t="s">
        <v>128</v>
      </c>
      <c r="E97" s="17">
        <v>19834</v>
      </c>
      <c r="F97">
        <f>K115+Feuil2!D96</f>
        <v>91597</v>
      </c>
    </row>
    <row r="98" spans="2:6" x14ac:dyDescent="0.25">
      <c r="B98" t="s">
        <v>31</v>
      </c>
      <c r="C98" t="s">
        <v>237</v>
      </c>
      <c r="D98" s="9" t="s">
        <v>129</v>
      </c>
      <c r="E98" s="17">
        <v>141709</v>
      </c>
      <c r="F98">
        <f>K116+Feuil2!D97</f>
        <v>175665</v>
      </c>
    </row>
    <row r="99" spans="2:6" x14ac:dyDescent="0.25">
      <c r="B99" t="s">
        <v>31</v>
      </c>
      <c r="C99" t="s">
        <v>238</v>
      </c>
      <c r="D99" s="9" t="s">
        <v>130</v>
      </c>
      <c r="E99" s="17">
        <v>69753</v>
      </c>
      <c r="F99">
        <f>K117+Feuil2!D98</f>
        <v>177763</v>
      </c>
    </row>
    <row r="100" spans="2:6" x14ac:dyDescent="0.25">
      <c r="B100" t="s">
        <v>31</v>
      </c>
      <c r="C100" t="s">
        <v>239</v>
      </c>
      <c r="D100" s="9" t="s">
        <v>131</v>
      </c>
      <c r="E100" s="17">
        <v>54719</v>
      </c>
      <c r="F100">
        <f>K118+Feuil2!D99</f>
        <v>26954</v>
      </c>
    </row>
    <row r="101" spans="2:6" x14ac:dyDescent="0.25">
      <c r="B101" t="s">
        <v>348</v>
      </c>
      <c r="C101" t="s">
        <v>240</v>
      </c>
      <c r="D101" s="9" t="s">
        <v>132</v>
      </c>
      <c r="E101" s="17">
        <v>111562</v>
      </c>
      <c r="F101">
        <f>K119+Feuil2!D100</f>
        <v>20357</v>
      </c>
    </row>
    <row r="102" spans="2:6" x14ac:dyDescent="0.25">
      <c r="B102" t="s">
        <v>348</v>
      </c>
      <c r="C102" t="s">
        <v>241</v>
      </c>
      <c r="D102" s="9" t="s">
        <v>133</v>
      </c>
      <c r="E102" s="17">
        <v>162619</v>
      </c>
      <c r="F102">
        <f>K120+Feuil2!D101</f>
        <v>164054</v>
      </c>
    </row>
  </sheetData>
  <conditionalFormatting sqref="E3:E102">
    <cfRule type="cellIs" dxfId="5" priority="3" stopIfTrue="1" operator="between">
      <formula>$H$6</formula>
      <formula>$I$6</formula>
    </cfRule>
    <cfRule type="cellIs" dxfId="4" priority="2" stopIfTrue="1" operator="between">
      <formula>$H$7</formula>
      <formula>$I$7</formula>
    </cfRule>
    <cfRule type="cellIs" dxfId="3" priority="1" stopIfTrue="1" operator="between">
      <formula>$H$8</formula>
      <formula>$I$8</formula>
    </cfRule>
  </conditionalFormatting>
  <dataValidations count="3">
    <dataValidation type="list" allowBlank="1" showInputMessage="1" showErrorMessage="1" sqref="H6:H8" xr:uid="{4D0542BD-10BC-4F95-BD7A-6D8D7CC9E26C}">
      <formula1>"0,75000,100000"</formula1>
    </dataValidation>
    <dataValidation type="list" allowBlank="1" showInputMessage="1" showErrorMessage="1" sqref="I6:I8" xr:uid="{7875704F-C4EA-44F6-859D-58FB9B2DFB0A}">
      <formula1>"74999,99999,200000"</formula1>
    </dataValidation>
    <dataValidation type="list" allowBlank="1" showInputMessage="1" showErrorMessage="1" sqref="K17" xr:uid="{E797C10A-EE4C-473B-80A8-FAE59864A3E4}">
      <formula1>"20,30,70"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41057-92D0-4492-ACFB-42710A166E20}">
  <sheetPr codeName="Feuil5"/>
  <dimension ref="B1"/>
  <sheetViews>
    <sheetView workbookViewId="0">
      <selection activeCell="B1" sqref="B1"/>
    </sheetView>
  </sheetViews>
  <sheetFormatPr baseColWidth="10" defaultRowHeight="15" x14ac:dyDescent="0.25"/>
  <sheetData>
    <row r="1" spans="2:2" x14ac:dyDescent="0.25">
      <c r="B1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53A00-D9B7-4DFA-9945-CEA0FA852328}">
  <sheetPr codeName="Feuil6"/>
  <dimension ref="A1:E8"/>
  <sheetViews>
    <sheetView tabSelected="1" workbookViewId="0">
      <selection activeCell="A8" sqref="A8"/>
    </sheetView>
  </sheetViews>
  <sheetFormatPr baseColWidth="10" defaultRowHeight="15" x14ac:dyDescent="0.25"/>
  <sheetData>
    <row r="1" spans="1:5" x14ac:dyDescent="0.25">
      <c r="A1" t="s">
        <v>353</v>
      </c>
      <c r="C1" t="s">
        <v>353</v>
      </c>
      <c r="E1" t="s">
        <v>353</v>
      </c>
    </row>
    <row r="2" spans="1:5" x14ac:dyDescent="0.25">
      <c r="B2" t="s">
        <v>353</v>
      </c>
      <c r="D2" t="s">
        <v>353</v>
      </c>
    </row>
    <row r="3" spans="1:5" x14ac:dyDescent="0.25">
      <c r="A3" t="s">
        <v>353</v>
      </c>
      <c r="C3" t="s">
        <v>353</v>
      </c>
      <c r="E3" t="s">
        <v>353</v>
      </c>
    </row>
    <row r="4" spans="1:5" x14ac:dyDescent="0.25">
      <c r="B4" t="s">
        <v>353</v>
      </c>
      <c r="D4" t="s">
        <v>353</v>
      </c>
    </row>
    <row r="5" spans="1:5" x14ac:dyDescent="0.25">
      <c r="A5" t="s">
        <v>353</v>
      </c>
      <c r="C5" t="s">
        <v>353</v>
      </c>
      <c r="E5" t="s">
        <v>353</v>
      </c>
    </row>
    <row r="8" spans="1:5" x14ac:dyDescent="0.25">
      <c r="A8" s="19" t="s">
        <v>354</v>
      </c>
    </row>
  </sheetData>
  <hyperlinks>
    <hyperlink ref="A8" r:id="rId1" location="L3" xr:uid="{EC12C6B5-39E1-4A1E-86AD-E5F5E138391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Feuil1</vt:lpstr>
      <vt:lpstr>Feuil2</vt:lpstr>
      <vt:lpstr>Feuil3</vt:lpstr>
      <vt:lpstr>Feuil4</vt:lpstr>
      <vt:lpstr>Feuil5</vt:lpstr>
      <vt:lpstr>Feuil6</vt:lpstr>
      <vt:lpstr>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Fortunat BIZANDRY TIAVARISAN</dc:creator>
  <cp:lastModifiedBy>Fortunat</cp:lastModifiedBy>
  <dcterms:created xsi:type="dcterms:W3CDTF">2022-02-14T14:59:54Z</dcterms:created>
  <dcterms:modified xsi:type="dcterms:W3CDTF">2022-02-18T14:00:57Z</dcterms:modified>
</cp:coreProperties>
</file>